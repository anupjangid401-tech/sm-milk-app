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.00"/>
    <numFmt numFmtId="165" formatCode="₹#,##0.00&quot; DR&quot;"/>
    <numFmt numFmtId="166" formatCode="yyyy-mm-dd"/>
    <numFmt numFmtId="167" formatCode="dd.mm.yyyy"/>
    <numFmt numFmtId="168" formatCode="#,##0.000"/>
  </numFmts>
  <fonts count="10">
    <font>
      <name val="Calibri"/>
      <family val="2"/>
      <color theme="1"/>
      <sz val="11"/>
      <scheme val="minor"/>
    </font>
    <font>
      <name val="Segoe UI"/>
      <b val="1"/>
      <color rgb="00102A43"/>
      <sz val="15"/>
    </font>
    <font>
      <name val="Segoe UI"/>
      <b val="1"/>
      <color rgb="00486581"/>
      <sz val="11"/>
    </font>
    <font>
      <name val="Segoe UI"/>
      <sz val="11"/>
    </font>
    <font>
      <name val="Segoe UI"/>
      <color rgb="00627D98"/>
      <sz val="9"/>
    </font>
    <font>
      <name val="Segoe UI"/>
      <b val="1"/>
      <sz val="11"/>
    </font>
    <font>
      <name val="Segoe UI"/>
      <b val="1"/>
      <color rgb="001B365D"/>
      <sz val="10"/>
    </font>
    <font>
      <name val="Segoe UI"/>
      <b val="1"/>
      <color rgb="00486581"/>
      <sz val="9"/>
    </font>
    <font>
      <name val="Segoe UI"/>
      <b val="1"/>
      <color rgb="00102A43"/>
      <sz val="14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2" borderId="1" pivotButton="0" quotePrefix="0" xfId="0"/>
    <xf numFmtId="0" fontId="0" fillId="0" borderId="1" pivotButton="0" quotePrefix="0" xfId="0"/>
    <xf numFmtId="0" fontId="7" fillId="2" borderId="1" applyAlignment="1" pivotButton="0" quotePrefix="0" xfId="0">
      <alignment horizontal="center" vertical="center"/>
    </xf>
    <xf numFmtId="0" fontId="5" fillId="2" borderId="1" pivotButton="0" quotePrefix="0" xfId="0"/>
    <xf numFmtId="164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9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8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68" fontId="3" fillId="5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0" fillId="0" borderId="2" pivotButton="0" quotePrefix="0" xfId="0"/>
    <xf numFmtId="168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10" customWidth="1" min="4" max="4"/>
    <col width="20" customWidth="1" min="5" max="5"/>
    <col width="16" customWidth="1" min="6" max="6"/>
    <col width="8" customWidth="1" min="7" max="7"/>
    <col width="15" customWidth="1" min="8" max="8"/>
    <col width="14" customWidth="1" min="9" max="9"/>
    <col width="15" customWidth="1" min="10" max="10"/>
    <col width="15" customWidth="1" min="11" max="11"/>
    <col width="15" customWidth="1" min="12" max="12"/>
    <col width="16" customWidth="1" min="13" max="13"/>
    <col width="16" customWidth="1" min="14" max="14"/>
    <col width="20" customWidth="1" min="15" max="15"/>
    <col width="50" customWidth="1" min="16" max="16"/>
  </cols>
  <sheetData>
    <row r="1">
      <c r="A1" s="1" t="inlineStr">
        <is>
          <t>AMBUJA CEMENTS LTD</t>
        </is>
      </c>
      <c r="N1" s="2" t="inlineStr">
        <is>
          <t>User ID</t>
        </is>
      </c>
      <c r="O1" s="3" t="inlineStr">
        <is>
          <t>APUROHIT</t>
        </is>
      </c>
    </row>
    <row r="2">
      <c r="A2" s="4" t="inlineStr">
        <is>
          <t>ACCOUNTING STATEMENT (CUSTOMER LEDGER)</t>
        </is>
      </c>
      <c r="N2" s="2" t="inlineStr">
        <is>
          <t>System ID</t>
        </is>
      </c>
      <c r="O2" s="3" t="inlineStr">
        <is>
          <t>PIN-400</t>
        </is>
      </c>
    </row>
    <row r="3">
      <c r="A3" s="5" t="inlineStr">
        <is>
          <t>Period: 01.04.2026 To 04.07.2026 | Plant: RJ-ACL-Jodhpur</t>
        </is>
      </c>
      <c r="N3" s="2" t="inlineStr">
        <is>
          <t>Program ID</t>
        </is>
      </c>
      <c r="O3" s="3" t="inlineStr">
        <is>
          <t>ZRFIXAPIN_CUSTOMER_LEDGER</t>
        </is>
      </c>
    </row>
    <row r="4">
      <c r="N4" s="2" t="inlineStr">
        <is>
          <t>Date/Time</t>
        </is>
      </c>
      <c r="O4" s="3" t="inlineStr">
        <is>
          <t>04.07.2026 11:24:15</t>
        </is>
      </c>
    </row>
    <row r="5" ht="15" customHeight="1"/>
    <row r="6">
      <c r="A6" s="6" t="inlineStr">
        <is>
          <t>CUSTOMER PROFILE</t>
        </is>
      </c>
      <c r="B6" s="7" t="n"/>
      <c r="C6" s="7" t="n"/>
      <c r="D6" s="7" t="n"/>
      <c r="F6" s="8" t="inlineStr">
        <is>
          <t>SECURITY DEPOSIT</t>
        </is>
      </c>
      <c r="G6" s="7" t="n"/>
      <c r="I6" s="8" t="inlineStr">
        <is>
          <t>OPENING BALANCE</t>
        </is>
      </c>
      <c r="J6" s="7" t="n"/>
      <c r="L6" s="8" t="inlineStr">
        <is>
          <t>CLOSING BALANCE</t>
        </is>
      </c>
      <c r="M6" s="7" t="n"/>
    </row>
    <row r="7">
      <c r="A7" s="9" t="inlineStr">
        <is>
          <t>Customer No: 9124204734</t>
        </is>
      </c>
      <c r="B7" s="7" t="n"/>
      <c r="C7" s="7" t="n"/>
      <c r="D7" s="7" t="n"/>
      <c r="F7" s="10" t="n">
        <v>0</v>
      </c>
      <c r="G7" s="7" t="n"/>
      <c r="I7" s="11" t="n">
        <v>49059805</v>
      </c>
      <c r="J7" s="7" t="n"/>
      <c r="L7" s="11">
        <f>I7+SUM(M14:M54)-SUM(N14:N54)</f>
        <v/>
      </c>
      <c r="M7" s="7" t="n"/>
    </row>
    <row r="8">
      <c r="A8" s="9" t="inlineStr">
        <is>
          <t>Name: MS CHOUHAN INFRAVENTURES PVT LTD</t>
        </is>
      </c>
      <c r="B8" s="7" t="n"/>
      <c r="C8" s="7" t="n"/>
      <c r="D8" s="7" t="n"/>
    </row>
    <row r="9">
      <c r="A9" s="12" t="inlineStr">
        <is>
          <t>Address: SHILPGRAM MANOHAR SINGH, S/O SHIVDAN, JAISALMER, RJ (Pin: 345001)</t>
        </is>
      </c>
      <c r="B9" s="7" t="n"/>
      <c r="C9" s="7" t="n"/>
      <c r="D9" s="7" t="n"/>
    </row>
    <row r="10" ht="15" customHeight="1"/>
    <row r="12" ht="25" customHeight="1">
      <c r="A12" s="13" t="inlineStr">
        <is>
          <t>S.No.</t>
        </is>
      </c>
      <c r="B12" s="13" t="inlineStr">
        <is>
          <t>Doc. Number</t>
        </is>
      </c>
      <c r="C12" s="13" t="inlineStr">
        <is>
          <t>Doc. Date</t>
        </is>
      </c>
      <c r="D12" s="13" t="inlineStr">
        <is>
          <t>Doc. Type</t>
        </is>
      </c>
      <c r="E12" s="13" t="inlineStr">
        <is>
          <t>Invoice Number</t>
        </is>
      </c>
      <c r="F12" s="13" t="inlineStr">
        <is>
          <t>Plant</t>
        </is>
      </c>
      <c r="G12" s="13" t="inlineStr">
        <is>
          <t>CMU</t>
        </is>
      </c>
      <c r="H12" s="13" t="inlineStr">
        <is>
          <t>SO/Pymt No.</t>
        </is>
      </c>
      <c r="I12" s="13" t="inlineStr">
        <is>
          <t>SO/Rec Date</t>
        </is>
      </c>
      <c r="J12" s="13" t="inlineStr">
        <is>
          <t>Destination</t>
        </is>
      </c>
      <c r="K12" s="13" t="inlineStr">
        <is>
          <t>Material</t>
        </is>
      </c>
      <c r="L12" s="13" t="inlineStr">
        <is>
          <t>Quantity (MT)</t>
        </is>
      </c>
      <c r="M12" s="13" t="inlineStr">
        <is>
          <t>Debit (INR)</t>
        </is>
      </c>
      <c r="N12" s="13" t="inlineStr">
        <is>
          <t>Credit (INR)</t>
        </is>
      </c>
      <c r="O12" s="13" t="inlineStr">
        <is>
          <t>Running Balance</t>
        </is>
      </c>
      <c r="P12" s="13" t="inlineStr">
        <is>
          <t>Document Text</t>
        </is>
      </c>
    </row>
    <row r="13" ht="22" customHeight="1">
      <c r="A13" s="14" t="inlineStr">
        <is>
          <t>-</t>
        </is>
      </c>
      <c r="B13" s="14" t="inlineStr">
        <is>
          <t>OPENING</t>
        </is>
      </c>
      <c r="C13" s="15" t="n">
        <v>46113</v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>
        <v>49059805</v>
      </c>
      <c r="P13" s="18" t="inlineStr">
        <is>
          <t>Opening Balance for the month of April-2026</t>
        </is>
      </c>
    </row>
    <row r="14" ht="20" customHeight="1">
      <c r="A14" s="19" t="n">
        <v>1</v>
      </c>
      <c r="B14" s="20" t="n">
        <v>4000043482</v>
      </c>
      <c r="C14" s="21" t="n">
        <v>46116</v>
      </c>
      <c r="D14" s="19" t="inlineStr">
        <is>
          <t>RV</t>
        </is>
      </c>
      <c r="E14" s="20" t="inlineStr">
        <is>
          <t>NE30082611000734</t>
        </is>
      </c>
      <c r="F14" s="22" t="inlineStr">
        <is>
          <t>MARWAR MUN</t>
        </is>
      </c>
      <c r="G14" s="19" t="inlineStr">
        <is>
          <t>MM</t>
        </is>
      </c>
      <c r="H14" s="20" t="n">
        <v>2845019330</v>
      </c>
      <c r="I14" s="21" t="n">
        <v>46112</v>
      </c>
      <c r="J14" s="22" t="inlineStr">
        <is>
          <t>Zinzinyali_</t>
        </is>
      </c>
      <c r="K14" s="22" t="inlineStr">
        <is>
          <t>PPC BULK E</t>
        </is>
      </c>
      <c r="L14" s="23" t="n">
        <v>40.58</v>
      </c>
      <c r="M14" s="24" t="n">
        <v>211828</v>
      </c>
      <c r="N14" s="24" t="n">
        <v>0</v>
      </c>
      <c r="O14" s="24">
        <f>O13+M14-N14</f>
        <v/>
      </c>
      <c r="P14" s="22" t="inlineStr">
        <is>
          <t>7817576177</t>
        </is>
      </c>
    </row>
    <row r="15" ht="20" customHeight="1">
      <c r="A15" s="25" t="n">
        <v>2</v>
      </c>
      <c r="B15" s="26" t="n">
        <v>6300045575</v>
      </c>
      <c r="C15" s="27" t="n">
        <v>46130</v>
      </c>
      <c r="D15" s="25" t="inlineStr">
        <is>
          <t>HE</t>
        </is>
      </c>
      <c r="E15" s="26" t="inlineStr"/>
      <c r="F15" s="28" t="inlineStr">
        <is>
          <t>ACL-RSO-JO</t>
        </is>
      </c>
      <c r="G15" s="25" t="inlineStr"/>
      <c r="H15" s="25" t="inlineStr"/>
      <c r="I15" s="25" t="inlineStr"/>
      <c r="J15" s="28" t="inlineStr"/>
      <c r="K15" s="28" t="inlineStr"/>
      <c r="L15" s="29" t="inlineStr"/>
      <c r="M15" s="30" t="n">
        <v>0</v>
      </c>
      <c r="N15" s="30" t="n">
        <v>36000000</v>
      </c>
      <c r="O15" s="30">
        <f>O14+M15-N15</f>
        <v/>
      </c>
      <c r="P15" s="28" t="inlineStr">
        <is>
          <t>NEFT/N264I8147476/MS CHOUHAN INFRAVENTURES PRIVATECOLLECTION-ICIC</t>
        </is>
      </c>
    </row>
    <row r="16" ht="20" customHeight="1">
      <c r="A16" s="19" t="n">
        <v>3</v>
      </c>
      <c r="B16" s="20" t="n">
        <v>4000215405</v>
      </c>
      <c r="C16" s="21" t="n">
        <v>46131</v>
      </c>
      <c r="D16" s="19" t="inlineStr">
        <is>
          <t>RV</t>
        </is>
      </c>
      <c r="E16" s="20" t="inlineStr">
        <is>
          <t>NEAD242611002384</t>
        </is>
      </c>
      <c r="F16" s="22" t="inlineStr">
        <is>
          <t>SANGHIPURA</t>
        </is>
      </c>
      <c r="G16" s="19" t="inlineStr">
        <is>
          <t>CG</t>
        </is>
      </c>
      <c r="H16" s="20" t="n">
        <v>2829900723</v>
      </c>
      <c r="I16" s="21" t="n">
        <v>46130</v>
      </c>
      <c r="J16" s="22" t="inlineStr"/>
      <c r="K16" s="22" t="inlineStr">
        <is>
          <t>PPC BULK E</t>
        </is>
      </c>
      <c r="L16" s="23" t="n">
        <v>36.36</v>
      </c>
      <c r="M16" s="24" t="n">
        <v>225432</v>
      </c>
      <c r="N16" s="24" t="n">
        <v>0</v>
      </c>
      <c r="O16" s="24">
        <f>O15+M16-N16</f>
        <v/>
      </c>
      <c r="P16" s="22" t="inlineStr">
        <is>
          <t>7817841902</t>
        </is>
      </c>
    </row>
    <row r="17" ht="20" customHeight="1">
      <c r="A17" s="25" t="n">
        <v>4</v>
      </c>
      <c r="B17" s="26" t="n">
        <v>4000216023</v>
      </c>
      <c r="C17" s="27" t="n">
        <v>46131</v>
      </c>
      <c r="D17" s="25" t="inlineStr">
        <is>
          <t>RV</t>
        </is>
      </c>
      <c r="E17" s="26" t="inlineStr">
        <is>
          <t>NEAD242611002396</t>
        </is>
      </c>
      <c r="F17" s="28" t="inlineStr">
        <is>
          <t>SANGHIPURA</t>
        </is>
      </c>
      <c r="G17" s="25" t="inlineStr">
        <is>
          <t>CG</t>
        </is>
      </c>
      <c r="H17" s="26" t="n">
        <v>2829900723</v>
      </c>
      <c r="I17" s="27" t="n">
        <v>46130</v>
      </c>
      <c r="J17" s="28" t="inlineStr"/>
      <c r="K17" s="28" t="inlineStr">
        <is>
          <t>PPC BULK E</t>
        </is>
      </c>
      <c r="L17" s="31" t="n">
        <v>36.3</v>
      </c>
      <c r="M17" s="30" t="n">
        <v>225060</v>
      </c>
      <c r="N17" s="30" t="n">
        <v>0</v>
      </c>
      <c r="O17" s="30">
        <f>O16+M17-N17</f>
        <v/>
      </c>
      <c r="P17" s="28" t="inlineStr">
        <is>
          <t>7817842815</t>
        </is>
      </c>
    </row>
    <row r="18" ht="20" customHeight="1">
      <c r="A18" s="19" t="n">
        <v>5</v>
      </c>
      <c r="B18" s="20" t="n">
        <v>4000217448</v>
      </c>
      <c r="C18" s="21" t="n">
        <v>46131</v>
      </c>
      <c r="D18" s="19" t="inlineStr">
        <is>
          <t>RV</t>
        </is>
      </c>
      <c r="E18" s="20" t="inlineStr">
        <is>
          <t>NEAD242611002408</t>
        </is>
      </c>
      <c r="F18" s="22" t="inlineStr">
        <is>
          <t>SANGHIPURA</t>
        </is>
      </c>
      <c r="G18" s="19" t="inlineStr">
        <is>
          <t>CG</t>
        </is>
      </c>
      <c r="H18" s="20" t="n">
        <v>2829900723</v>
      </c>
      <c r="I18" s="21" t="n">
        <v>46130</v>
      </c>
      <c r="J18" s="22" t="inlineStr"/>
      <c r="K18" s="22" t="inlineStr">
        <is>
          <t>PPC BULK E</t>
        </is>
      </c>
      <c r="L18" s="23" t="n">
        <v>41.66</v>
      </c>
      <c r="M18" s="24" t="n">
        <v>258292</v>
      </c>
      <c r="N18" s="24" t="n">
        <v>0</v>
      </c>
      <c r="O18" s="24">
        <f>O17+M18-N18</f>
        <v/>
      </c>
      <c r="P18" s="22" t="inlineStr">
        <is>
          <t>7817845238</t>
        </is>
      </c>
    </row>
    <row r="19" ht="20" customHeight="1">
      <c r="A19" s="25" t="n">
        <v>6</v>
      </c>
      <c r="B19" s="26" t="n">
        <v>4000217458</v>
      </c>
      <c r="C19" s="27" t="n">
        <v>46131</v>
      </c>
      <c r="D19" s="25" t="inlineStr">
        <is>
          <t>RV</t>
        </is>
      </c>
      <c r="E19" s="26" t="inlineStr">
        <is>
          <t>NEAD242611002409</t>
        </is>
      </c>
      <c r="F19" s="28" t="inlineStr">
        <is>
          <t>SANGHIPURA</t>
        </is>
      </c>
      <c r="G19" s="25" t="inlineStr">
        <is>
          <t>CG</t>
        </is>
      </c>
      <c r="H19" s="26" t="n">
        <v>2829900723</v>
      </c>
      <c r="I19" s="27" t="n">
        <v>46130</v>
      </c>
      <c r="J19" s="28" t="inlineStr"/>
      <c r="K19" s="28" t="inlineStr">
        <is>
          <t>PPC BULK E</t>
        </is>
      </c>
      <c r="L19" s="31" t="n">
        <v>41.25</v>
      </c>
      <c r="M19" s="30" t="n">
        <v>255750</v>
      </c>
      <c r="N19" s="30" t="n">
        <v>0</v>
      </c>
      <c r="O19" s="30">
        <f>O18+M19-N19</f>
        <v/>
      </c>
      <c r="P19" s="28" t="inlineStr">
        <is>
          <t>7817845261</t>
        </is>
      </c>
    </row>
    <row r="20" ht="20" customHeight="1">
      <c r="A20" s="19" t="n">
        <v>7</v>
      </c>
      <c r="B20" s="20" t="n">
        <v>4000217512</v>
      </c>
      <c r="C20" s="21" t="n">
        <v>46131</v>
      </c>
      <c r="D20" s="19" t="inlineStr">
        <is>
          <t>RV</t>
        </is>
      </c>
      <c r="E20" s="20" t="inlineStr">
        <is>
          <t>NEAD242611002412</t>
        </is>
      </c>
      <c r="F20" s="22" t="inlineStr">
        <is>
          <t>SANGHIPURA</t>
        </is>
      </c>
      <c r="G20" s="19" t="inlineStr">
        <is>
          <t>CG</t>
        </is>
      </c>
      <c r="H20" s="20" t="n">
        <v>2829900723</v>
      </c>
      <c r="I20" s="21" t="n">
        <v>46130</v>
      </c>
      <c r="J20" s="22" t="inlineStr"/>
      <c r="K20" s="22" t="inlineStr">
        <is>
          <t>PPC BULK E</t>
        </is>
      </c>
      <c r="L20" s="23" t="n">
        <v>36.3</v>
      </c>
      <c r="M20" s="24" t="n">
        <v>225060</v>
      </c>
      <c r="N20" s="24" t="n">
        <v>0</v>
      </c>
      <c r="O20" s="24">
        <f>O19+M20-N20</f>
        <v/>
      </c>
      <c r="P20" s="22" t="inlineStr">
        <is>
          <t>7817845343</t>
        </is>
      </c>
    </row>
    <row r="21" ht="20" customHeight="1">
      <c r="A21" s="25" t="n">
        <v>8</v>
      </c>
      <c r="B21" s="26" t="n">
        <v>4000217545</v>
      </c>
      <c r="C21" s="27" t="n">
        <v>46131</v>
      </c>
      <c r="D21" s="25" t="inlineStr">
        <is>
          <t>RV</t>
        </is>
      </c>
      <c r="E21" s="26" t="inlineStr">
        <is>
          <t>NEAD242611002413</t>
        </is>
      </c>
      <c r="F21" s="28" t="inlineStr">
        <is>
          <t>SANGHIPURA</t>
        </is>
      </c>
      <c r="G21" s="25" t="inlineStr">
        <is>
          <t>CG</t>
        </is>
      </c>
      <c r="H21" s="26" t="n">
        <v>2829900723</v>
      </c>
      <c r="I21" s="27" t="n">
        <v>46130</v>
      </c>
      <c r="J21" s="28" t="inlineStr"/>
      <c r="K21" s="28" t="inlineStr">
        <is>
          <t>PPC BULK E</t>
        </is>
      </c>
      <c r="L21" s="31" t="n">
        <v>41.68</v>
      </c>
      <c r="M21" s="30" t="n">
        <v>258416</v>
      </c>
      <c r="N21" s="30" t="n">
        <v>0</v>
      </c>
      <c r="O21" s="30">
        <f>O20+M21-N21</f>
        <v/>
      </c>
      <c r="P21" s="28" t="inlineStr">
        <is>
          <t>7817845395</t>
        </is>
      </c>
    </row>
    <row r="22" ht="20" customHeight="1">
      <c r="A22" s="19" t="n">
        <v>9</v>
      </c>
      <c r="B22" s="20" t="n">
        <v>4000217572</v>
      </c>
      <c r="C22" s="21" t="n">
        <v>46131</v>
      </c>
      <c r="D22" s="19" t="inlineStr">
        <is>
          <t>RV</t>
        </is>
      </c>
      <c r="E22" s="20" t="inlineStr">
        <is>
          <t>NEAD242611002414</t>
        </is>
      </c>
      <c r="F22" s="22" t="inlineStr">
        <is>
          <t>SANGHIPURA</t>
        </is>
      </c>
      <c r="G22" s="19" t="inlineStr">
        <is>
          <t>CG</t>
        </is>
      </c>
      <c r="H22" s="20" t="n">
        <v>2829900723</v>
      </c>
      <c r="I22" s="21" t="n">
        <v>46130</v>
      </c>
      <c r="J22" s="22" t="inlineStr"/>
      <c r="K22" s="22" t="inlineStr">
        <is>
          <t>PPC BULK E</t>
        </is>
      </c>
      <c r="L22" s="23" t="n">
        <v>36.34</v>
      </c>
      <c r="M22" s="24" t="n">
        <v>225308</v>
      </c>
      <c r="N22" s="24" t="n">
        <v>0</v>
      </c>
      <c r="O22" s="24">
        <f>O21+M22-N22</f>
        <v/>
      </c>
      <c r="P22" s="22" t="inlineStr">
        <is>
          <t>7817845452</t>
        </is>
      </c>
    </row>
    <row r="23" ht="20" customHeight="1">
      <c r="A23" s="25" t="n">
        <v>10</v>
      </c>
      <c r="B23" s="26" t="n">
        <v>4000217585</v>
      </c>
      <c r="C23" s="27" t="n">
        <v>46131</v>
      </c>
      <c r="D23" s="25" t="inlineStr">
        <is>
          <t>RV</t>
        </is>
      </c>
      <c r="E23" s="26" t="inlineStr">
        <is>
          <t>NEAD242611002415</t>
        </is>
      </c>
      <c r="F23" s="28" t="inlineStr">
        <is>
          <t>SANGHIPURA</t>
        </is>
      </c>
      <c r="G23" s="25" t="inlineStr">
        <is>
          <t>CG</t>
        </is>
      </c>
      <c r="H23" s="26" t="n">
        <v>2829900723</v>
      </c>
      <c r="I23" s="27" t="n">
        <v>46130</v>
      </c>
      <c r="J23" s="28" t="inlineStr"/>
      <c r="K23" s="28" t="inlineStr">
        <is>
          <t>PPC BULK E</t>
        </is>
      </c>
      <c r="L23" s="31" t="n">
        <v>41.45</v>
      </c>
      <c r="M23" s="30" t="n">
        <v>256990</v>
      </c>
      <c r="N23" s="30" t="n">
        <v>0</v>
      </c>
      <c r="O23" s="30">
        <f>O22+M23-N23</f>
        <v/>
      </c>
      <c r="P23" s="28" t="inlineStr">
        <is>
          <t>7817845474</t>
        </is>
      </c>
    </row>
    <row r="24" ht="20" customHeight="1">
      <c r="A24" s="19" t="n">
        <v>11</v>
      </c>
      <c r="B24" s="20" t="n">
        <v>4000217586</v>
      </c>
      <c r="C24" s="21" t="n">
        <v>46131</v>
      </c>
      <c r="D24" s="19" t="inlineStr">
        <is>
          <t>RV</t>
        </is>
      </c>
      <c r="E24" s="20" t="inlineStr">
        <is>
          <t>NEAD242611002416</t>
        </is>
      </c>
      <c r="F24" s="22" t="inlineStr">
        <is>
          <t>SANGHIPURA</t>
        </is>
      </c>
      <c r="G24" s="19" t="inlineStr">
        <is>
          <t>CG</t>
        </is>
      </c>
      <c r="H24" s="20" t="n">
        <v>2829900723</v>
      </c>
      <c r="I24" s="21" t="n">
        <v>46130</v>
      </c>
      <c r="J24" s="22" t="inlineStr"/>
      <c r="K24" s="22" t="inlineStr">
        <is>
          <t>PPC BULK E</t>
        </is>
      </c>
      <c r="L24" s="23" t="n">
        <v>41.97</v>
      </c>
      <c r="M24" s="24" t="n">
        <v>260214</v>
      </c>
      <c r="N24" s="24" t="n">
        <v>0</v>
      </c>
      <c r="O24" s="24">
        <f>O23+M24-N24</f>
        <v/>
      </c>
      <c r="P24" s="22" t="inlineStr">
        <is>
          <t>7817845484</t>
        </is>
      </c>
    </row>
    <row r="25" ht="20" customHeight="1">
      <c r="A25" s="25" t="n">
        <v>12</v>
      </c>
      <c r="B25" s="26" t="n">
        <v>4000217591</v>
      </c>
      <c r="C25" s="27" t="n">
        <v>46131</v>
      </c>
      <c r="D25" s="25" t="inlineStr">
        <is>
          <t>RV</t>
        </is>
      </c>
      <c r="E25" s="26" t="inlineStr">
        <is>
          <t>NEAD242611002417</t>
        </is>
      </c>
      <c r="F25" s="28" t="inlineStr">
        <is>
          <t>SANGHIPURA</t>
        </is>
      </c>
      <c r="G25" s="25" t="inlineStr">
        <is>
          <t>CG</t>
        </is>
      </c>
      <c r="H25" s="26" t="n">
        <v>2829900723</v>
      </c>
      <c r="I25" s="27" t="n">
        <v>46130</v>
      </c>
      <c r="J25" s="28" t="inlineStr"/>
      <c r="K25" s="28" t="inlineStr">
        <is>
          <t>PPC BULK E</t>
        </is>
      </c>
      <c r="L25" s="31" t="n">
        <v>41.75</v>
      </c>
      <c r="M25" s="30" t="n">
        <v>258850</v>
      </c>
      <c r="N25" s="30" t="n">
        <v>0</v>
      </c>
      <c r="O25" s="30">
        <f>O24+M25-N25</f>
        <v/>
      </c>
      <c r="P25" s="28" t="inlineStr">
        <is>
          <t>7817845492</t>
        </is>
      </c>
    </row>
    <row r="26" ht="20" customHeight="1">
      <c r="A26" s="19" t="n">
        <v>13</v>
      </c>
      <c r="B26" s="20" t="n">
        <v>4000217626</v>
      </c>
      <c r="C26" s="21" t="n">
        <v>46131</v>
      </c>
      <c r="D26" s="19" t="inlineStr">
        <is>
          <t>RV</t>
        </is>
      </c>
      <c r="E26" s="20" t="inlineStr">
        <is>
          <t>NEAD242611002418</t>
        </is>
      </c>
      <c r="F26" s="22" t="inlineStr">
        <is>
          <t>SANGHIPURA</t>
        </is>
      </c>
      <c r="G26" s="19" t="inlineStr">
        <is>
          <t>CG</t>
        </is>
      </c>
      <c r="H26" s="20" t="n">
        <v>2829900723</v>
      </c>
      <c r="I26" s="21" t="n">
        <v>46130</v>
      </c>
      <c r="J26" s="22" t="inlineStr"/>
      <c r="K26" s="22" t="inlineStr">
        <is>
          <t>PPC BULK E</t>
        </is>
      </c>
      <c r="L26" s="23" t="n">
        <v>41.09</v>
      </c>
      <c r="M26" s="24" t="n">
        <v>254758</v>
      </c>
      <c r="N26" s="24" t="n">
        <v>0</v>
      </c>
      <c r="O26" s="24">
        <f>O25+M26-N26</f>
        <v/>
      </c>
      <c r="P26" s="22" t="inlineStr">
        <is>
          <t>7817845564</t>
        </is>
      </c>
    </row>
    <row r="27" ht="20" customHeight="1">
      <c r="A27" s="25" t="n">
        <v>14</v>
      </c>
      <c r="B27" s="26" t="n">
        <v>4000217632</v>
      </c>
      <c r="C27" s="27" t="n">
        <v>46131</v>
      </c>
      <c r="D27" s="25" t="inlineStr">
        <is>
          <t>RV</t>
        </is>
      </c>
      <c r="E27" s="26" t="inlineStr">
        <is>
          <t>NEAD242611002419</t>
        </is>
      </c>
      <c r="F27" s="28" t="inlineStr">
        <is>
          <t>SANGHIPURA</t>
        </is>
      </c>
      <c r="G27" s="25" t="inlineStr">
        <is>
          <t>CG</t>
        </is>
      </c>
      <c r="H27" s="26" t="n">
        <v>2829900723</v>
      </c>
      <c r="I27" s="27" t="n">
        <v>46130</v>
      </c>
      <c r="J27" s="28" t="inlineStr"/>
      <c r="K27" s="28" t="inlineStr">
        <is>
          <t>PPC BULK E</t>
        </is>
      </c>
      <c r="L27" s="31" t="n">
        <v>36.66</v>
      </c>
      <c r="M27" s="30" t="n">
        <v>227292</v>
      </c>
      <c r="N27" s="30" t="n">
        <v>0</v>
      </c>
      <c r="O27" s="30">
        <f>O26+M27-N27</f>
        <v/>
      </c>
      <c r="P27" s="28" t="inlineStr">
        <is>
          <t>7817845573</t>
        </is>
      </c>
    </row>
    <row r="28" ht="20" customHeight="1">
      <c r="A28" s="19" t="n">
        <v>15</v>
      </c>
      <c r="B28" s="20" t="n">
        <v>4000218380</v>
      </c>
      <c r="C28" s="21" t="n">
        <v>46131</v>
      </c>
      <c r="D28" s="19" t="inlineStr">
        <is>
          <t>RV</t>
        </is>
      </c>
      <c r="E28" s="20" t="inlineStr">
        <is>
          <t>NEAD242611002428</t>
        </is>
      </c>
      <c r="F28" s="22" t="inlineStr">
        <is>
          <t>SANGHIPURA</t>
        </is>
      </c>
      <c r="G28" s="19" t="inlineStr">
        <is>
          <t>CG</t>
        </is>
      </c>
      <c r="H28" s="20" t="n">
        <v>2829900723</v>
      </c>
      <c r="I28" s="21" t="n">
        <v>46130</v>
      </c>
      <c r="J28" s="22" t="inlineStr"/>
      <c r="K28" s="22" t="inlineStr">
        <is>
          <t>PPC BULK E</t>
        </is>
      </c>
      <c r="L28" s="23" t="n">
        <v>41.77</v>
      </c>
      <c r="M28" s="24" t="n">
        <v>258974</v>
      </c>
      <c r="N28" s="24" t="n">
        <v>0</v>
      </c>
      <c r="O28" s="24">
        <f>O27+M28-N28</f>
        <v/>
      </c>
      <c r="P28" s="22" t="inlineStr">
        <is>
          <t>7817846904</t>
        </is>
      </c>
    </row>
    <row r="29" ht="20" customHeight="1">
      <c r="A29" s="25" t="n">
        <v>16</v>
      </c>
      <c r="B29" s="26" t="n">
        <v>4000220159</v>
      </c>
      <c r="C29" s="27" t="n">
        <v>46131</v>
      </c>
      <c r="D29" s="25" t="inlineStr">
        <is>
          <t>RV</t>
        </is>
      </c>
      <c r="E29" s="26" t="inlineStr">
        <is>
          <t>NEAD242611002436</t>
        </is>
      </c>
      <c r="F29" s="28" t="inlineStr">
        <is>
          <t>SANGHIPURA</t>
        </is>
      </c>
      <c r="G29" s="25" t="inlineStr">
        <is>
          <t>CG</t>
        </is>
      </c>
      <c r="H29" s="26" t="n">
        <v>2829900723</v>
      </c>
      <c r="I29" s="27" t="n">
        <v>46130</v>
      </c>
      <c r="J29" s="28" t="inlineStr"/>
      <c r="K29" s="28" t="inlineStr">
        <is>
          <t>PPC BULK E</t>
        </is>
      </c>
      <c r="L29" s="31" t="n">
        <v>41.76</v>
      </c>
      <c r="M29" s="30" t="n">
        <v>258912</v>
      </c>
      <c r="N29" s="30" t="n">
        <v>0</v>
      </c>
      <c r="O29" s="30">
        <f>O28+M29-N29</f>
        <v/>
      </c>
      <c r="P29" s="28" t="inlineStr">
        <is>
          <t>7817850237</t>
        </is>
      </c>
    </row>
    <row r="30" ht="20" customHeight="1">
      <c r="A30" s="19" t="n">
        <v>17</v>
      </c>
      <c r="B30" s="20" t="n">
        <v>4000220195</v>
      </c>
      <c r="C30" s="21" t="n">
        <v>46131</v>
      </c>
      <c r="D30" s="19" t="inlineStr">
        <is>
          <t>RV</t>
        </is>
      </c>
      <c r="E30" s="20" t="inlineStr">
        <is>
          <t>NEAD242611002439</t>
        </is>
      </c>
      <c r="F30" s="22" t="inlineStr">
        <is>
          <t>SANGHIPURA</t>
        </is>
      </c>
      <c r="G30" s="19" t="inlineStr">
        <is>
          <t>CG</t>
        </is>
      </c>
      <c r="H30" s="20" t="n">
        <v>2829900723</v>
      </c>
      <c r="I30" s="21" t="n">
        <v>46130</v>
      </c>
      <c r="J30" s="22" t="inlineStr"/>
      <c r="K30" s="22" t="inlineStr">
        <is>
          <t>PPC BULK E</t>
        </is>
      </c>
      <c r="L30" s="23" t="n">
        <v>36.26</v>
      </c>
      <c r="M30" s="24" t="n">
        <v>224812</v>
      </c>
      <c r="N30" s="24" t="n">
        <v>0</v>
      </c>
      <c r="O30" s="24">
        <f>O29+M30-N30</f>
        <v/>
      </c>
      <c r="P30" s="22" t="inlineStr">
        <is>
          <t>7817850290</t>
        </is>
      </c>
    </row>
    <row r="31" ht="20" customHeight="1">
      <c r="A31" s="25" t="n">
        <v>18</v>
      </c>
      <c r="B31" s="26" t="n">
        <v>4000222335</v>
      </c>
      <c r="C31" s="27" t="n">
        <v>46132</v>
      </c>
      <c r="D31" s="25" t="inlineStr">
        <is>
          <t>RV</t>
        </is>
      </c>
      <c r="E31" s="26" t="inlineStr">
        <is>
          <t>NEAD242611002454</t>
        </is>
      </c>
      <c r="F31" s="28" t="inlineStr">
        <is>
          <t>SANGHIPURA</t>
        </is>
      </c>
      <c r="G31" s="25" t="inlineStr">
        <is>
          <t>CG</t>
        </is>
      </c>
      <c r="H31" s="26" t="n">
        <v>2829900723</v>
      </c>
      <c r="I31" s="27" t="n">
        <v>46130</v>
      </c>
      <c r="J31" s="28" t="inlineStr"/>
      <c r="K31" s="28" t="inlineStr">
        <is>
          <t>PPC BULK E</t>
        </is>
      </c>
      <c r="L31" s="31" t="n">
        <v>36.9</v>
      </c>
      <c r="M31" s="30" t="n">
        <v>228780</v>
      </c>
      <c r="N31" s="30" t="n">
        <v>0</v>
      </c>
      <c r="O31" s="30">
        <f>O30+M31-N31</f>
        <v/>
      </c>
      <c r="P31" s="28" t="inlineStr">
        <is>
          <t>7817853355</t>
        </is>
      </c>
    </row>
    <row r="32" ht="20" customHeight="1">
      <c r="A32" s="19" t="n">
        <v>19</v>
      </c>
      <c r="B32" s="20" t="n">
        <v>4000222352</v>
      </c>
      <c r="C32" s="21" t="n">
        <v>46132</v>
      </c>
      <c r="D32" s="19" t="inlineStr">
        <is>
          <t>RV</t>
        </is>
      </c>
      <c r="E32" s="20" t="inlineStr">
        <is>
          <t>NEAD242611002456</t>
        </is>
      </c>
      <c r="F32" s="22" t="inlineStr">
        <is>
          <t>SANGHIPURA</t>
        </is>
      </c>
      <c r="G32" s="19" t="inlineStr">
        <is>
          <t>CG</t>
        </is>
      </c>
      <c r="H32" s="20" t="n">
        <v>2829900723</v>
      </c>
      <c r="I32" s="21" t="n">
        <v>46130</v>
      </c>
      <c r="J32" s="22" t="inlineStr"/>
      <c r="K32" s="22" t="inlineStr">
        <is>
          <t>PPC BULK E</t>
        </is>
      </c>
      <c r="L32" s="23" t="n">
        <v>39.07</v>
      </c>
      <c r="M32" s="24" t="n">
        <v>242234</v>
      </c>
      <c r="N32" s="24" t="n">
        <v>0</v>
      </c>
      <c r="O32" s="24">
        <f>O31+M32-N32</f>
        <v/>
      </c>
      <c r="P32" s="22" t="inlineStr">
        <is>
          <t>7817853388</t>
        </is>
      </c>
    </row>
    <row r="33" ht="20" customHeight="1">
      <c r="A33" s="25" t="n">
        <v>20</v>
      </c>
      <c r="B33" s="26" t="n">
        <v>4000222355</v>
      </c>
      <c r="C33" s="27" t="n">
        <v>46132</v>
      </c>
      <c r="D33" s="25" t="inlineStr">
        <is>
          <t>RV</t>
        </is>
      </c>
      <c r="E33" s="26" t="inlineStr">
        <is>
          <t>NEAD242611002457</t>
        </is>
      </c>
      <c r="F33" s="28" t="inlineStr">
        <is>
          <t>SANGHIPURA</t>
        </is>
      </c>
      <c r="G33" s="25" t="inlineStr">
        <is>
          <t>CG</t>
        </is>
      </c>
      <c r="H33" s="26" t="n">
        <v>2829900723</v>
      </c>
      <c r="I33" s="27" t="n">
        <v>46130</v>
      </c>
      <c r="J33" s="28" t="inlineStr"/>
      <c r="K33" s="28" t="inlineStr">
        <is>
          <t>PPC BULK E</t>
        </is>
      </c>
      <c r="L33" s="31" t="n">
        <v>34</v>
      </c>
      <c r="M33" s="30" t="n">
        <v>210800</v>
      </c>
      <c r="N33" s="30" t="n">
        <v>0</v>
      </c>
      <c r="O33" s="30">
        <f>O32+M33-N33</f>
        <v/>
      </c>
      <c r="P33" s="28" t="inlineStr">
        <is>
          <t>7817853396</t>
        </is>
      </c>
    </row>
    <row r="34" ht="20" customHeight="1">
      <c r="A34" s="19" t="n">
        <v>21</v>
      </c>
      <c r="B34" s="20" t="n">
        <v>4000223172</v>
      </c>
      <c r="C34" s="21" t="n">
        <v>46132</v>
      </c>
      <c r="D34" s="19" t="inlineStr">
        <is>
          <t>RV</t>
        </is>
      </c>
      <c r="E34" s="20" t="inlineStr">
        <is>
          <t>NEAD242611002460</t>
        </is>
      </c>
      <c r="F34" s="22" t="inlineStr">
        <is>
          <t>SANGHIPURA</t>
        </is>
      </c>
      <c r="G34" s="19" t="inlineStr">
        <is>
          <t>CG</t>
        </is>
      </c>
      <c r="H34" s="20" t="n">
        <v>2829900723</v>
      </c>
      <c r="I34" s="21" t="n">
        <v>46130</v>
      </c>
      <c r="J34" s="22" t="inlineStr"/>
      <c r="K34" s="22" t="inlineStr">
        <is>
          <t>PPC BULK E</t>
        </is>
      </c>
      <c r="L34" s="23" t="n">
        <v>42.24</v>
      </c>
      <c r="M34" s="24" t="n">
        <v>261888</v>
      </c>
      <c r="N34" s="24" t="n">
        <v>0</v>
      </c>
      <c r="O34" s="24">
        <f>O33+M34-N34</f>
        <v/>
      </c>
      <c r="P34" s="22" t="inlineStr">
        <is>
          <t>7817854691</t>
        </is>
      </c>
    </row>
    <row r="35" ht="20" customHeight="1">
      <c r="A35" s="25" t="n">
        <v>22</v>
      </c>
      <c r="B35" s="26" t="n">
        <v>4000223268</v>
      </c>
      <c r="C35" s="27" t="n">
        <v>46132</v>
      </c>
      <c r="D35" s="25" t="inlineStr">
        <is>
          <t>RV</t>
        </is>
      </c>
      <c r="E35" s="26" t="inlineStr">
        <is>
          <t>NEAD242611002461</t>
        </is>
      </c>
      <c r="F35" s="28" t="inlineStr">
        <is>
          <t>SANGHIPURA</t>
        </is>
      </c>
      <c r="G35" s="25" t="inlineStr">
        <is>
          <t>CG</t>
        </is>
      </c>
      <c r="H35" s="26" t="n">
        <v>2829900723</v>
      </c>
      <c r="I35" s="27" t="n">
        <v>46130</v>
      </c>
      <c r="J35" s="28" t="inlineStr"/>
      <c r="K35" s="28" t="inlineStr">
        <is>
          <t>PPC BULK E</t>
        </is>
      </c>
      <c r="L35" s="31" t="n">
        <v>35.96</v>
      </c>
      <c r="M35" s="30" t="n">
        <v>222952</v>
      </c>
      <c r="N35" s="30" t="n">
        <v>0</v>
      </c>
      <c r="O35" s="30">
        <f>O34+M35-N35</f>
        <v/>
      </c>
      <c r="P35" s="28" t="inlineStr">
        <is>
          <t>7817854827</t>
        </is>
      </c>
    </row>
    <row r="36" ht="20" customHeight="1">
      <c r="A36" s="19" t="n">
        <v>23</v>
      </c>
      <c r="B36" s="20" t="n">
        <v>4000223779</v>
      </c>
      <c r="C36" s="21" t="n">
        <v>46132</v>
      </c>
      <c r="D36" s="19" t="inlineStr">
        <is>
          <t>RV</t>
        </is>
      </c>
      <c r="E36" s="20" t="inlineStr">
        <is>
          <t>NEAD242611002467</t>
        </is>
      </c>
      <c r="F36" s="22" t="inlineStr">
        <is>
          <t>SANGHIPURA</t>
        </is>
      </c>
      <c r="G36" s="19" t="inlineStr">
        <is>
          <t>CG</t>
        </is>
      </c>
      <c r="H36" s="20" t="n">
        <v>2829900723</v>
      </c>
      <c r="I36" s="21" t="n">
        <v>46130</v>
      </c>
      <c r="J36" s="22" t="inlineStr"/>
      <c r="K36" s="22" t="inlineStr">
        <is>
          <t>PPC BULK E</t>
        </is>
      </c>
      <c r="L36" s="23" t="n">
        <v>41.71</v>
      </c>
      <c r="M36" s="24" t="n">
        <v>258602</v>
      </c>
      <c r="N36" s="24" t="n">
        <v>0</v>
      </c>
      <c r="O36" s="24">
        <f>O35+M36-N36</f>
        <v/>
      </c>
      <c r="P36" s="22" t="inlineStr">
        <is>
          <t>7817855587</t>
        </is>
      </c>
    </row>
    <row r="37" ht="20" customHeight="1">
      <c r="A37" s="25" t="n">
        <v>24</v>
      </c>
      <c r="B37" s="26" t="n">
        <v>4000223792</v>
      </c>
      <c r="C37" s="27" t="n">
        <v>46132</v>
      </c>
      <c r="D37" s="25" t="inlineStr">
        <is>
          <t>RV</t>
        </is>
      </c>
      <c r="E37" s="26" t="inlineStr">
        <is>
          <t>NEAD242611002468</t>
        </is>
      </c>
      <c r="F37" s="28" t="inlineStr">
        <is>
          <t>SANGHIPURA</t>
        </is>
      </c>
      <c r="G37" s="25" t="inlineStr">
        <is>
          <t>CG</t>
        </is>
      </c>
      <c r="H37" s="26" t="n">
        <v>2829900723</v>
      </c>
      <c r="I37" s="27" t="n">
        <v>46130</v>
      </c>
      <c r="J37" s="28" t="inlineStr"/>
      <c r="K37" s="28" t="inlineStr">
        <is>
          <t>PPC BULK E</t>
        </is>
      </c>
      <c r="L37" s="31" t="n">
        <v>42.25</v>
      </c>
      <c r="M37" s="30" t="n">
        <v>261950</v>
      </c>
      <c r="N37" s="30" t="n">
        <v>0</v>
      </c>
      <c r="O37" s="30">
        <f>O36+M37-N37</f>
        <v/>
      </c>
      <c r="P37" s="28" t="inlineStr">
        <is>
          <t>7817855607</t>
        </is>
      </c>
    </row>
    <row r="38" ht="20" customHeight="1">
      <c r="A38" s="19" t="n">
        <v>25</v>
      </c>
      <c r="B38" s="20" t="n">
        <v>4000226445</v>
      </c>
      <c r="C38" s="21" t="n">
        <v>46132</v>
      </c>
      <c r="D38" s="19" t="inlineStr">
        <is>
          <t>RV</t>
        </is>
      </c>
      <c r="E38" s="20" t="inlineStr">
        <is>
          <t>NEAD242611002500</t>
        </is>
      </c>
      <c r="F38" s="22" t="inlineStr">
        <is>
          <t>SANGHIPURA</t>
        </is>
      </c>
      <c r="G38" s="19" t="inlineStr">
        <is>
          <t>CG</t>
        </is>
      </c>
      <c r="H38" s="20" t="n">
        <v>2829900723</v>
      </c>
      <c r="I38" s="21" t="n">
        <v>46130</v>
      </c>
      <c r="J38" s="22" t="inlineStr"/>
      <c r="K38" s="22" t="inlineStr">
        <is>
          <t>PPC BULK E</t>
        </is>
      </c>
      <c r="L38" s="23" t="n">
        <v>41.67</v>
      </c>
      <c r="M38" s="24" t="n">
        <v>258354</v>
      </c>
      <c r="N38" s="24" t="n">
        <v>0</v>
      </c>
      <c r="O38" s="24">
        <f>O37+M38-N38</f>
        <v/>
      </c>
      <c r="P38" s="22" t="inlineStr">
        <is>
          <t>7817859822</t>
        </is>
      </c>
    </row>
    <row r="39" ht="20" customHeight="1">
      <c r="A39" s="25" t="n">
        <v>26</v>
      </c>
      <c r="B39" s="26" t="n">
        <v>4000226450</v>
      </c>
      <c r="C39" s="27" t="n">
        <v>46132</v>
      </c>
      <c r="D39" s="25" t="inlineStr">
        <is>
          <t>RV</t>
        </is>
      </c>
      <c r="E39" s="26" t="inlineStr">
        <is>
          <t>NEAD242611002501</t>
        </is>
      </c>
      <c r="F39" s="28" t="inlineStr">
        <is>
          <t>SANGHIPURA</t>
        </is>
      </c>
      <c r="G39" s="25" t="inlineStr">
        <is>
          <t>CG</t>
        </is>
      </c>
      <c r="H39" s="26" t="n">
        <v>2829900723</v>
      </c>
      <c r="I39" s="27" t="n">
        <v>46130</v>
      </c>
      <c r="J39" s="28" t="inlineStr"/>
      <c r="K39" s="28" t="inlineStr">
        <is>
          <t>PPC BULK E</t>
        </is>
      </c>
      <c r="L39" s="31" t="n">
        <v>38.74</v>
      </c>
      <c r="M39" s="30" t="n">
        <v>240188</v>
      </c>
      <c r="N39" s="30" t="n">
        <v>0</v>
      </c>
      <c r="O39" s="30">
        <f>O38+M39-N39</f>
        <v/>
      </c>
      <c r="P39" s="28" t="inlineStr">
        <is>
          <t>7817859838</t>
        </is>
      </c>
    </row>
    <row r="40" ht="20" customHeight="1">
      <c r="A40" s="19" t="n">
        <v>27</v>
      </c>
      <c r="B40" s="20" t="n">
        <v>4000226505</v>
      </c>
      <c r="C40" s="21" t="n">
        <v>46132</v>
      </c>
      <c r="D40" s="19" t="inlineStr">
        <is>
          <t>RV</t>
        </is>
      </c>
      <c r="E40" s="20" t="inlineStr">
        <is>
          <t>NEAD242611002503</t>
        </is>
      </c>
      <c r="F40" s="22" t="inlineStr">
        <is>
          <t>SANGHIPURA</t>
        </is>
      </c>
      <c r="G40" s="19" t="inlineStr">
        <is>
          <t>CG</t>
        </is>
      </c>
      <c r="H40" s="20" t="n">
        <v>2829900723</v>
      </c>
      <c r="I40" s="21" t="n">
        <v>46130</v>
      </c>
      <c r="J40" s="22" t="inlineStr"/>
      <c r="K40" s="22" t="inlineStr">
        <is>
          <t>PPC BULK E</t>
        </is>
      </c>
      <c r="L40" s="23" t="n">
        <v>41.9</v>
      </c>
      <c r="M40" s="24" t="n">
        <v>259780</v>
      </c>
      <c r="N40" s="24" t="n">
        <v>0</v>
      </c>
      <c r="O40" s="24">
        <f>O39+M40-N40</f>
        <v/>
      </c>
      <c r="P40" s="22" t="inlineStr">
        <is>
          <t>7817859924</t>
        </is>
      </c>
    </row>
    <row r="41" ht="20" customHeight="1">
      <c r="A41" s="25" t="n">
        <v>28</v>
      </c>
      <c r="B41" s="26" t="n">
        <v>4000226515</v>
      </c>
      <c r="C41" s="27" t="n">
        <v>46132</v>
      </c>
      <c r="D41" s="25" t="inlineStr">
        <is>
          <t>RV</t>
        </is>
      </c>
      <c r="E41" s="26" t="inlineStr">
        <is>
          <t>NEAD242611002504</t>
        </is>
      </c>
      <c r="F41" s="28" t="inlineStr">
        <is>
          <t>SANGHIPURA</t>
        </is>
      </c>
      <c r="G41" s="25" t="inlineStr">
        <is>
          <t>CG</t>
        </is>
      </c>
      <c r="H41" s="26" t="n">
        <v>2829900723</v>
      </c>
      <c r="I41" s="27" t="n">
        <v>46130</v>
      </c>
      <c r="J41" s="28" t="inlineStr"/>
      <c r="K41" s="28" t="inlineStr">
        <is>
          <t>PPC BULK E</t>
        </is>
      </c>
      <c r="L41" s="31" t="n">
        <v>41.84</v>
      </c>
      <c r="M41" s="30" t="n">
        <v>259408</v>
      </c>
      <c r="N41" s="30" t="n">
        <v>0</v>
      </c>
      <c r="O41" s="30">
        <f>O40+M41-N41</f>
        <v/>
      </c>
      <c r="P41" s="28" t="inlineStr">
        <is>
          <t>7817859935</t>
        </is>
      </c>
    </row>
    <row r="42" ht="20" customHeight="1">
      <c r="A42" s="19" t="n">
        <v>29</v>
      </c>
      <c r="B42" s="20" t="n">
        <v>4000226528</v>
      </c>
      <c r="C42" s="21" t="n">
        <v>46132</v>
      </c>
      <c r="D42" s="19" t="inlineStr">
        <is>
          <t>RV</t>
        </is>
      </c>
      <c r="E42" s="20" t="inlineStr">
        <is>
          <t>NEAD242611002506</t>
        </is>
      </c>
      <c r="F42" s="22" t="inlineStr">
        <is>
          <t>SANGHIPURA</t>
        </is>
      </c>
      <c r="G42" s="19" t="inlineStr">
        <is>
          <t>CG</t>
        </is>
      </c>
      <c r="H42" s="20" t="n">
        <v>2829900723</v>
      </c>
      <c r="I42" s="21" t="n">
        <v>46130</v>
      </c>
      <c r="J42" s="22" t="inlineStr"/>
      <c r="K42" s="22" t="inlineStr">
        <is>
          <t>PPC BULK E</t>
        </is>
      </c>
      <c r="L42" s="23" t="n">
        <v>41.93</v>
      </c>
      <c r="M42" s="24" t="n">
        <v>259966</v>
      </c>
      <c r="N42" s="24" t="n">
        <v>0</v>
      </c>
      <c r="O42" s="24">
        <f>O41+M42-N42</f>
        <v/>
      </c>
      <c r="P42" s="22" t="inlineStr">
        <is>
          <t>7817859967</t>
        </is>
      </c>
    </row>
    <row r="43" ht="20" customHeight="1">
      <c r="A43" s="25" t="n">
        <v>30</v>
      </c>
      <c r="B43" s="26" t="n">
        <v>4000226589</v>
      </c>
      <c r="C43" s="27" t="n">
        <v>46132</v>
      </c>
      <c r="D43" s="25" t="inlineStr">
        <is>
          <t>RV</t>
        </is>
      </c>
      <c r="E43" s="26" t="inlineStr">
        <is>
          <t>NEAD242611002510</t>
        </is>
      </c>
      <c r="F43" s="28" t="inlineStr">
        <is>
          <t>SANGHIPURA</t>
        </is>
      </c>
      <c r="G43" s="25" t="inlineStr">
        <is>
          <t>CG</t>
        </is>
      </c>
      <c r="H43" s="26" t="n">
        <v>2829900723</v>
      </c>
      <c r="I43" s="27" t="n">
        <v>46130</v>
      </c>
      <c r="J43" s="28" t="inlineStr"/>
      <c r="K43" s="28" t="inlineStr">
        <is>
          <t>PPC BULK E</t>
        </is>
      </c>
      <c r="L43" s="31" t="n">
        <v>41.36</v>
      </c>
      <c r="M43" s="30" t="n">
        <v>256432</v>
      </c>
      <c r="N43" s="30" t="n">
        <v>0</v>
      </c>
      <c r="O43" s="30">
        <f>O42+M43-N43</f>
        <v/>
      </c>
      <c r="P43" s="28" t="inlineStr">
        <is>
          <t>7817860071</t>
        </is>
      </c>
    </row>
    <row r="44" ht="20" customHeight="1">
      <c r="A44" s="19" t="n">
        <v>31</v>
      </c>
      <c r="B44" s="20" t="n">
        <v>4000232744</v>
      </c>
      <c r="C44" s="21" t="n">
        <v>46133</v>
      </c>
      <c r="D44" s="19" t="inlineStr">
        <is>
          <t>RV</t>
        </is>
      </c>
      <c r="E44" s="20" t="inlineStr">
        <is>
          <t>NEAD242611002637</t>
        </is>
      </c>
      <c r="F44" s="22" t="inlineStr">
        <is>
          <t>SANGHIPURA</t>
        </is>
      </c>
      <c r="G44" s="19" t="inlineStr">
        <is>
          <t>CG</t>
        </is>
      </c>
      <c r="H44" s="20" t="n">
        <v>2829900723</v>
      </c>
      <c r="I44" s="21" t="n">
        <v>46130</v>
      </c>
      <c r="J44" s="22" t="inlineStr"/>
      <c r="K44" s="22" t="inlineStr">
        <is>
          <t>PPC BULK E</t>
        </is>
      </c>
      <c r="L44" s="23" t="n">
        <v>36.5</v>
      </c>
      <c r="M44" s="24" t="n">
        <v>226300</v>
      </c>
      <c r="N44" s="24" t="n">
        <v>0</v>
      </c>
      <c r="O44" s="24">
        <f>O43+M44-N44</f>
        <v/>
      </c>
      <c r="P44" s="22" t="inlineStr">
        <is>
          <t>7817870387</t>
        </is>
      </c>
    </row>
    <row r="45" ht="20" customHeight="1">
      <c r="A45" s="25" t="n">
        <v>32</v>
      </c>
      <c r="B45" s="26" t="n">
        <v>4000232759</v>
      </c>
      <c r="C45" s="27" t="n">
        <v>46133</v>
      </c>
      <c r="D45" s="25" t="inlineStr">
        <is>
          <t>RV</t>
        </is>
      </c>
      <c r="E45" s="26" t="inlineStr">
        <is>
          <t>NEAD242611002638</t>
        </is>
      </c>
      <c r="F45" s="28" t="inlineStr">
        <is>
          <t>SANGHIPURA</t>
        </is>
      </c>
      <c r="G45" s="25" t="inlineStr">
        <is>
          <t>CG</t>
        </is>
      </c>
      <c r="H45" s="26" t="n">
        <v>2829900723</v>
      </c>
      <c r="I45" s="27" t="n">
        <v>46130</v>
      </c>
      <c r="J45" s="28" t="inlineStr"/>
      <c r="K45" s="28" t="inlineStr">
        <is>
          <t>PPC BULK E</t>
        </is>
      </c>
      <c r="L45" s="31" t="n">
        <v>36.57</v>
      </c>
      <c r="M45" s="30" t="n">
        <v>226734</v>
      </c>
      <c r="N45" s="30" t="n">
        <v>0</v>
      </c>
      <c r="O45" s="30">
        <f>O44+M45-N45</f>
        <v/>
      </c>
      <c r="P45" s="28" t="inlineStr">
        <is>
          <t>7817870407</t>
        </is>
      </c>
    </row>
    <row r="46" ht="20" customHeight="1">
      <c r="A46" s="19" t="n">
        <v>33</v>
      </c>
      <c r="B46" s="20" t="n">
        <v>4000232784</v>
      </c>
      <c r="C46" s="21" t="n">
        <v>46133</v>
      </c>
      <c r="D46" s="19" t="inlineStr">
        <is>
          <t>RV</t>
        </is>
      </c>
      <c r="E46" s="20" t="inlineStr">
        <is>
          <t>NEAD242611002642</t>
        </is>
      </c>
      <c r="F46" s="22" t="inlineStr">
        <is>
          <t>SANGHIPURA</t>
        </is>
      </c>
      <c r="G46" s="19" t="inlineStr">
        <is>
          <t>CG</t>
        </is>
      </c>
      <c r="H46" s="20" t="n">
        <v>2829900723</v>
      </c>
      <c r="I46" s="21" t="n">
        <v>46130</v>
      </c>
      <c r="J46" s="22" t="inlineStr"/>
      <c r="K46" s="22" t="inlineStr">
        <is>
          <t>PPC BULK E</t>
        </is>
      </c>
      <c r="L46" s="23" t="n">
        <v>36.59</v>
      </c>
      <c r="M46" s="24" t="n">
        <v>226858</v>
      </c>
      <c r="N46" s="24" t="n">
        <v>0</v>
      </c>
      <c r="O46" s="24">
        <f>O45+M46-N46</f>
        <v/>
      </c>
      <c r="P46" s="22" t="inlineStr">
        <is>
          <t>7817870446</t>
        </is>
      </c>
    </row>
    <row r="47" ht="20" customHeight="1">
      <c r="A47" s="25" t="n">
        <v>34</v>
      </c>
      <c r="B47" s="26" t="n">
        <v>4000234532</v>
      </c>
      <c r="C47" s="27" t="n">
        <v>46133</v>
      </c>
      <c r="D47" s="25" t="inlineStr">
        <is>
          <t>RV</t>
        </is>
      </c>
      <c r="E47" s="26" t="inlineStr">
        <is>
          <t>NEAD242611002658</t>
        </is>
      </c>
      <c r="F47" s="28" t="inlineStr">
        <is>
          <t>SANGHIPURA</t>
        </is>
      </c>
      <c r="G47" s="25" t="inlineStr">
        <is>
          <t>CG</t>
        </is>
      </c>
      <c r="H47" s="26" t="n">
        <v>2829900723</v>
      </c>
      <c r="I47" s="27" t="n">
        <v>46130</v>
      </c>
      <c r="J47" s="28" t="inlineStr"/>
      <c r="K47" s="28" t="inlineStr">
        <is>
          <t>PPC BULK E</t>
        </is>
      </c>
      <c r="L47" s="31" t="n">
        <v>36.51</v>
      </c>
      <c r="M47" s="30" t="n">
        <v>226362</v>
      </c>
      <c r="N47" s="30" t="n">
        <v>0</v>
      </c>
      <c r="O47" s="30">
        <f>O46+M47-N47</f>
        <v/>
      </c>
      <c r="P47" s="28" t="inlineStr">
        <is>
          <t>7817873071</t>
        </is>
      </c>
    </row>
    <row r="48" ht="20" customHeight="1">
      <c r="A48" s="19" t="n">
        <v>35</v>
      </c>
      <c r="B48" s="20" t="n">
        <v>4000234541</v>
      </c>
      <c r="C48" s="21" t="n">
        <v>46133</v>
      </c>
      <c r="D48" s="19" t="inlineStr">
        <is>
          <t>RV</t>
        </is>
      </c>
      <c r="E48" s="20" t="inlineStr">
        <is>
          <t>NEAD242611002659</t>
        </is>
      </c>
      <c r="F48" s="22" t="inlineStr">
        <is>
          <t>SANGHIPURA</t>
        </is>
      </c>
      <c r="G48" s="19" t="inlineStr">
        <is>
          <t>CG</t>
        </is>
      </c>
      <c r="H48" s="20" t="n">
        <v>2829900723</v>
      </c>
      <c r="I48" s="21" t="n">
        <v>46130</v>
      </c>
      <c r="J48" s="22" t="inlineStr"/>
      <c r="K48" s="22" t="inlineStr">
        <is>
          <t>PPC BULK E</t>
        </is>
      </c>
      <c r="L48" s="23" t="n">
        <v>36.77</v>
      </c>
      <c r="M48" s="24" t="n">
        <v>227974</v>
      </c>
      <c r="N48" s="24" t="n">
        <v>0</v>
      </c>
      <c r="O48" s="24">
        <f>O47+M48-N48</f>
        <v/>
      </c>
      <c r="P48" s="22" t="inlineStr">
        <is>
          <t>7817873082</t>
        </is>
      </c>
    </row>
    <row r="49" ht="20" customHeight="1">
      <c r="A49" s="25" t="n">
        <v>36</v>
      </c>
      <c r="B49" s="26" t="n">
        <v>4000234574</v>
      </c>
      <c r="C49" s="27" t="n">
        <v>46133</v>
      </c>
      <c r="D49" s="25" t="inlineStr">
        <is>
          <t>RV</t>
        </is>
      </c>
      <c r="E49" s="26" t="inlineStr">
        <is>
          <t>NEAD242611002661</t>
        </is>
      </c>
      <c r="F49" s="28" t="inlineStr">
        <is>
          <t>SANGHIPURA</t>
        </is>
      </c>
      <c r="G49" s="25" t="inlineStr">
        <is>
          <t>CG</t>
        </is>
      </c>
      <c r="H49" s="26" t="n">
        <v>2829900723</v>
      </c>
      <c r="I49" s="27" t="n">
        <v>46130</v>
      </c>
      <c r="J49" s="28" t="inlineStr"/>
      <c r="K49" s="28" t="inlineStr">
        <is>
          <t>PPC BULK E</t>
        </is>
      </c>
      <c r="L49" s="31" t="n">
        <v>36.79</v>
      </c>
      <c r="M49" s="30" t="n">
        <v>228098</v>
      </c>
      <c r="N49" s="30" t="n">
        <v>0</v>
      </c>
      <c r="O49" s="30">
        <f>O48+M49-N49</f>
        <v/>
      </c>
      <c r="P49" s="28" t="inlineStr">
        <is>
          <t>7817873120</t>
        </is>
      </c>
    </row>
    <row r="50" ht="20" customHeight="1">
      <c r="A50" s="19" t="n">
        <v>37</v>
      </c>
      <c r="B50" s="20" t="n">
        <v>4000280839</v>
      </c>
      <c r="C50" s="21" t="n">
        <v>46137</v>
      </c>
      <c r="D50" s="19" t="inlineStr">
        <is>
          <t>RV</t>
        </is>
      </c>
      <c r="E50" s="20" t="inlineStr">
        <is>
          <t>NEAD242611003166</t>
        </is>
      </c>
      <c r="F50" s="22" t="inlineStr">
        <is>
          <t>SANGHIPURA</t>
        </is>
      </c>
      <c r="G50" s="19" t="inlineStr">
        <is>
          <t>CG</t>
        </is>
      </c>
      <c r="H50" s="20" t="n">
        <v>2829987835</v>
      </c>
      <c r="I50" s="21" t="n">
        <v>46137</v>
      </c>
      <c r="J50" s="22" t="inlineStr"/>
      <c r="K50" s="22" t="inlineStr">
        <is>
          <t>PPC BULK E</t>
        </is>
      </c>
      <c r="L50" s="23" t="n">
        <v>41.9</v>
      </c>
      <c r="M50" s="24" t="n">
        <v>259780</v>
      </c>
      <c r="N50" s="24" t="n">
        <v>0</v>
      </c>
      <c r="O50" s="24">
        <f>O49+M50-N50</f>
        <v/>
      </c>
      <c r="P50" s="22" t="inlineStr">
        <is>
          <t>7817948024</t>
        </is>
      </c>
    </row>
    <row r="51" ht="20" customHeight="1">
      <c r="A51" s="25" t="n">
        <v>38</v>
      </c>
      <c r="B51" s="26" t="n">
        <v>4000280904</v>
      </c>
      <c r="C51" s="27" t="n">
        <v>46137</v>
      </c>
      <c r="D51" s="25" t="inlineStr">
        <is>
          <t>RV</t>
        </is>
      </c>
      <c r="E51" s="26" t="inlineStr">
        <is>
          <t>NEAD242611003167</t>
        </is>
      </c>
      <c r="F51" s="28" t="inlineStr">
        <is>
          <t>SANGHIPURA</t>
        </is>
      </c>
      <c r="G51" s="25" t="inlineStr">
        <is>
          <t>CG</t>
        </is>
      </c>
      <c r="H51" s="26" t="n">
        <v>2829987835</v>
      </c>
      <c r="I51" s="27" t="n">
        <v>46137</v>
      </c>
      <c r="J51" s="28" t="inlineStr"/>
      <c r="K51" s="28" t="inlineStr">
        <is>
          <t>PPC BULK E</t>
        </is>
      </c>
      <c r="L51" s="31" t="n">
        <v>36.87</v>
      </c>
      <c r="M51" s="30" t="n">
        <v>228594</v>
      </c>
      <c r="N51" s="30" t="n">
        <v>0</v>
      </c>
      <c r="O51" s="30">
        <f>O50+M51-N51</f>
        <v/>
      </c>
      <c r="P51" s="28" t="inlineStr">
        <is>
          <t>7817948150</t>
        </is>
      </c>
    </row>
    <row r="52" ht="20" customHeight="1">
      <c r="A52" s="19" t="n">
        <v>39</v>
      </c>
      <c r="B52" s="20" t="n">
        <v>4000282587</v>
      </c>
      <c r="C52" s="21" t="n">
        <v>46137</v>
      </c>
      <c r="D52" s="19" t="inlineStr">
        <is>
          <t>RV</t>
        </is>
      </c>
      <c r="E52" s="20" t="inlineStr">
        <is>
          <t>NEAD242611003200</t>
        </is>
      </c>
      <c r="F52" s="22" t="inlineStr">
        <is>
          <t>SANGHIPURA</t>
        </is>
      </c>
      <c r="G52" s="19" t="inlineStr">
        <is>
          <t>CG</t>
        </is>
      </c>
      <c r="H52" s="20" t="n">
        <v>2829987835</v>
      </c>
      <c r="I52" s="21" t="n">
        <v>46137</v>
      </c>
      <c r="J52" s="22" t="inlineStr"/>
      <c r="K52" s="22" t="inlineStr">
        <is>
          <t>PPC BULK E</t>
        </is>
      </c>
      <c r="L52" s="23" t="n">
        <v>36.74</v>
      </c>
      <c r="M52" s="24" t="n">
        <v>227788</v>
      </c>
      <c r="N52" s="24" t="n">
        <v>0</v>
      </c>
      <c r="O52" s="24">
        <f>O51+M52-N52</f>
        <v/>
      </c>
      <c r="P52" s="22" t="inlineStr">
        <is>
          <t>7817950975</t>
        </is>
      </c>
    </row>
    <row r="53" ht="20" customHeight="1">
      <c r="A53" s="25" t="n">
        <v>40</v>
      </c>
      <c r="B53" s="26" t="n">
        <v>4000282602</v>
      </c>
      <c r="C53" s="27" t="n">
        <v>46137</v>
      </c>
      <c r="D53" s="25" t="inlineStr">
        <is>
          <t>RV</t>
        </is>
      </c>
      <c r="E53" s="26" t="inlineStr">
        <is>
          <t>NEAD242611003201</t>
        </is>
      </c>
      <c r="F53" s="28" t="inlineStr">
        <is>
          <t>SANGHIPURA</t>
        </is>
      </c>
      <c r="G53" s="25" t="inlineStr">
        <is>
          <t>CG</t>
        </is>
      </c>
      <c r="H53" s="26" t="n">
        <v>2829987835</v>
      </c>
      <c r="I53" s="27" t="n">
        <v>46137</v>
      </c>
      <c r="J53" s="28" t="inlineStr"/>
      <c r="K53" s="28" t="inlineStr">
        <is>
          <t>PPC BULK E</t>
        </is>
      </c>
      <c r="L53" s="31" t="n">
        <v>41.79</v>
      </c>
      <c r="M53" s="30" t="n">
        <v>259098</v>
      </c>
      <c r="N53" s="30" t="n">
        <v>0</v>
      </c>
      <c r="O53" s="30">
        <f>O52+M53-N53</f>
        <v/>
      </c>
      <c r="P53" s="28" t="inlineStr">
        <is>
          <t>7817950990</t>
        </is>
      </c>
    </row>
    <row r="54" ht="20" customHeight="1">
      <c r="A54" s="19" t="n">
        <v>41</v>
      </c>
      <c r="B54" s="20" t="n">
        <v>4000282611</v>
      </c>
      <c r="C54" s="21" t="n">
        <v>46137</v>
      </c>
      <c r="D54" s="19" t="inlineStr">
        <is>
          <t>RV</t>
        </is>
      </c>
      <c r="E54" s="20" t="inlineStr">
        <is>
          <t>NEAD242611003202</t>
        </is>
      </c>
      <c r="F54" s="22" t="inlineStr">
        <is>
          <t>SANGHIPURA</t>
        </is>
      </c>
      <c r="G54" s="19" t="inlineStr">
        <is>
          <t>CG</t>
        </is>
      </c>
      <c r="H54" s="20" t="n">
        <v>2829987835</v>
      </c>
      <c r="I54" s="21" t="n">
        <v>46137</v>
      </c>
      <c r="J54" s="22" t="inlineStr"/>
      <c r="K54" s="22" t="inlineStr">
        <is>
          <t>PPC BULK E</t>
        </is>
      </c>
      <c r="L54" s="23" t="n">
        <v>36.55</v>
      </c>
      <c r="M54" s="24" t="n">
        <v>226610</v>
      </c>
      <c r="N54" s="24" t="n">
        <v>0</v>
      </c>
      <c r="O54" s="24">
        <f>O53+M54-N54</f>
        <v/>
      </c>
      <c r="P54" s="22" t="inlineStr">
        <is>
          <t>7817951002</t>
        </is>
      </c>
    </row>
    <row r="55" ht="24" customHeight="1">
      <c r="A55" s="32" t="inlineStr">
        <is>
          <t>Total Ledger Activity</t>
        </is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4">
        <f>SUM(L14:L54)</f>
        <v/>
      </c>
      <c r="M55" s="35">
        <f>SUM(M14:M54)</f>
        <v/>
      </c>
      <c r="N55" s="35">
        <f>SUM(N14:N54)</f>
        <v/>
      </c>
      <c r="O55" s="35">
        <f>O54</f>
        <v/>
      </c>
      <c r="P55" s="36" t="inlineStr"/>
    </row>
  </sheetData>
  <mergeCells count="14">
    <mergeCell ref="A9:D9"/>
    <mergeCell ref="A1:G1"/>
    <mergeCell ref="A8:D8"/>
    <mergeCell ref="A6:D6"/>
    <mergeCell ref="I6:J6"/>
    <mergeCell ref="L6:M6"/>
    <mergeCell ref="A3:G3"/>
    <mergeCell ref="I7:J7"/>
    <mergeCell ref="L7:M7"/>
    <mergeCell ref="A55:K55"/>
    <mergeCell ref="A7:D7"/>
    <mergeCell ref="A2:G2"/>
    <mergeCell ref="F6:G6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2026-07-04T07:59:58Z</dcterms:created>
  <dcterms:modified xmlns:dcterms="http://purl.org/dc/terms/" xmlns:xsi="http://www.w3.org/2001/XMLSchema-instance" xsi:type="dcterms:W3CDTF">2026-07-04T07:59:58Z</dcterms:modified>
</cp:coreProperties>
</file>