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ne Wall 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b val="1"/>
      <color rgb="001B365D"/>
      <sz val="11"/>
    </font>
    <font>
      <name val="Segoe UI"/>
      <b val="1"/>
      <sz val="10"/>
    </font>
    <font>
      <name val="Segoe UI"/>
      <sz val="10"/>
    </font>
    <font>
      <name val="Segoe UI"/>
      <i val="1"/>
      <color rgb="00555555"/>
      <sz val="9"/>
    </font>
    <font>
      <name val="Segoe UI"/>
      <b val="1"/>
      <color rgb="007F6000"/>
      <sz val="11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7"/>
        <bgColor rgb="00F2F4F7"/>
      </patternFill>
    </fill>
    <fill>
      <patternFill patternType="solid">
        <fgColor rgb="002C4D75"/>
        <bgColor rgb="002C4D75"/>
      </patternFill>
    </fill>
    <fill>
      <patternFill patternType="solid">
        <fgColor rgb="00203764"/>
        <bgColor rgb="00203764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7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000000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2" fontId="8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9" fillId="3" borderId="1" pivotButton="0" quotePrefix="0" xfId="0"/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right" vertical="center"/>
    </xf>
    <xf numFmtId="0" fontId="0" fillId="8" borderId="1" pivotButton="0" quotePrefix="0" xfId="0"/>
    <xf numFmtId="4" fontId="6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9" fillId="8" borderId="1" pivotButton="0" quotePrefix="0" xfId="0"/>
    <xf numFmtId="0" fontId="6" fillId="8" borderId="2" applyAlignment="1" pivotButton="0" quotePrefix="0" xfId="0">
      <alignment horizontal="right" vertical="center"/>
    </xf>
    <xf numFmtId="0" fontId="0" fillId="8" borderId="2" pivotButton="0" quotePrefix="0" xfId="0"/>
    <xf numFmtId="0" fontId="6" fillId="8" borderId="2" applyAlignment="1" pivotButton="0" quotePrefix="0" xfId="0">
      <alignment horizontal="center" vertical="center"/>
    </xf>
    <xf numFmtId="4" fontId="6" fillId="8" borderId="2" applyAlignment="1" pivotButton="0" quotePrefix="0" xfId="0">
      <alignment horizontal="right" vertical="center"/>
    </xf>
    <xf numFmtId="0" fontId="9" fillId="8" borderId="2" pivotButton="0" quotePrefix="0" xfId="0"/>
    <xf numFmtId="0" fontId="10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18" customWidth="1" min="5" max="5"/>
    <col width="20" customWidth="1" min="6" max="6"/>
    <col width="22" customWidth="1" min="7" max="7"/>
    <col width="35" customWidth="1" min="8" max="8"/>
  </cols>
  <sheetData>
    <row r="1" ht="40" customHeight="1">
      <c r="A1" s="1" t="inlineStr">
        <is>
          <t>GRG STONE WALL MEASUREMENTS</t>
        </is>
      </c>
    </row>
    <row r="2" ht="20" customHeight="1">
      <c r="A2" s="2" t="inlineStr">
        <is>
          <t>CONTRACTOR:</t>
        </is>
      </c>
      <c r="B2" s="3" t="inlineStr">
        <is>
          <t>PAWAN KUMAR</t>
        </is>
      </c>
      <c r="C2" s="4" t="n"/>
      <c r="D2" s="2" t="inlineStr">
        <is>
          <t>COMPANY NAME:</t>
        </is>
      </c>
      <c r="E2" s="3" t="inlineStr">
        <is>
          <t>ADITYA CONSTRUCTION COMPANY</t>
        </is>
      </c>
      <c r="F2" s="4" t="n"/>
      <c r="G2" s="4" t="n"/>
      <c r="H2" s="4" t="n"/>
    </row>
    <row r="3" ht="20" customHeight="1">
      <c r="A3" s="2" t="inlineStr">
        <is>
          <t>LAST UPDATED:</t>
        </is>
      </c>
      <c r="B3" s="3" t="inlineStr">
        <is>
          <t>21/07/2026</t>
        </is>
      </c>
      <c r="C3" s="4" t="n"/>
      <c r="D3" s="4" t="n"/>
      <c r="E3" s="4" t="n"/>
      <c r="F3" s="4" t="n"/>
      <c r="G3" s="4" t="n"/>
      <c r="H3" s="4" t="n"/>
    </row>
    <row r="4" ht="15" customHeight="1"/>
    <row r="5" ht="26" customHeight="1">
      <c r="A5" s="5" t="inlineStr">
        <is>
          <t>SECTION 1: RECORD DATE - 09/06/2026</t>
        </is>
      </c>
    </row>
    <row r="6" ht="28" customHeight="1">
      <c r="A6" s="6" t="inlineStr">
        <is>
          <t>S.No</t>
        </is>
      </c>
      <c r="B6" s="6" t="inlineStr">
        <is>
          <t>Work Description</t>
        </is>
      </c>
      <c r="C6" s="6" t="inlineStr">
        <is>
          <t>Length (L) in ft</t>
        </is>
      </c>
      <c r="D6" s="6" t="inlineStr">
        <is>
          <t>Width (W) in ft</t>
        </is>
      </c>
      <c r="E6" s="6" t="inlineStr">
        <is>
          <t>Height/Depth (H) in ft</t>
        </is>
      </c>
      <c r="F6" s="6" t="inlineStr">
        <is>
          <t>P.C.C. Area (Sq.Ft)</t>
        </is>
      </c>
      <c r="G6" s="6" t="inlineStr">
        <is>
          <t>Stone Volume (Cu.Ft)</t>
        </is>
      </c>
      <c r="H6" s="6" t="inlineStr">
        <is>
          <t>Remarks / Handwritten Value</t>
        </is>
      </c>
    </row>
    <row r="7" ht="24" customHeight="1">
      <c r="A7" s="7" t="inlineStr">
        <is>
          <t>1. डिगी दीवार (Diggi Wall)</t>
        </is>
      </c>
      <c r="B7" s="8" t="n"/>
      <c r="C7" s="8" t="n"/>
      <c r="D7" s="8" t="n"/>
      <c r="E7" s="8" t="n"/>
      <c r="F7" s="8" t="n"/>
      <c r="G7" s="8" t="n"/>
      <c r="H7" s="8" t="n"/>
    </row>
    <row r="8" ht="20" customHeight="1">
      <c r="A8" s="9" t="inlineStr">
        <is>
          <t>1.1</t>
        </is>
      </c>
      <c r="B8" s="10" t="inlineStr">
        <is>
          <t>P.C.C.</t>
        </is>
      </c>
      <c r="C8" s="11" t="n">
        <v>126.28</v>
      </c>
      <c r="D8" s="11" t="n">
        <v>3</v>
      </c>
      <c r="E8" s="11" t="n">
        <v>0.333</v>
      </c>
      <c r="F8" s="12">
        <f>C8*D8</f>
        <v/>
      </c>
      <c r="G8" s="13" t="inlineStr">
        <is>
          <t>-</t>
        </is>
      </c>
      <c r="H8" s="14" t="inlineStr">
        <is>
          <t>378.84 Sq.Ft</t>
        </is>
      </c>
    </row>
    <row r="9" ht="20" customHeight="1">
      <c r="A9" s="9" t="inlineStr">
        <is>
          <t>1.2</t>
        </is>
      </c>
      <c r="B9" s="10" t="inlineStr">
        <is>
          <t>Stone Work</t>
        </is>
      </c>
      <c r="C9" s="11" t="n">
        <v>74.78</v>
      </c>
      <c r="D9" s="11" t="n">
        <v>2</v>
      </c>
      <c r="E9" s="11" t="n">
        <v>3</v>
      </c>
      <c r="F9" s="13" t="inlineStr">
        <is>
          <t>-</t>
        </is>
      </c>
      <c r="G9" s="12">
        <f>C9*D9*E9</f>
        <v/>
      </c>
      <c r="H9" s="14" t="inlineStr">
        <is>
          <t>448.70 Cu.Ft (Calculated: 448.68)</t>
        </is>
      </c>
    </row>
    <row r="10" ht="20" customHeight="1">
      <c r="A10" s="9" t="inlineStr">
        <is>
          <t>1.3</t>
        </is>
      </c>
      <c r="B10" s="10" t="inlineStr">
        <is>
          <t>Stone Work</t>
        </is>
      </c>
      <c r="C10" s="11" t="n">
        <v>37.72</v>
      </c>
      <c r="D10" s="11" t="n">
        <v>2</v>
      </c>
      <c r="E10" s="11" t="n">
        <v>1.5</v>
      </c>
      <c r="F10" s="13" t="inlineStr">
        <is>
          <t>-</t>
        </is>
      </c>
      <c r="G10" s="12">
        <f>C10*D10*E10</f>
        <v/>
      </c>
      <c r="H10" s="14" t="inlineStr">
        <is>
          <t>113.16 Cu.Ft</t>
        </is>
      </c>
    </row>
    <row r="11" ht="24" customHeight="1">
      <c r="A11" s="7" t="inlineStr">
        <is>
          <t>2. बाउंड्रीवाल कार्य (Boundary Wall Work)</t>
        </is>
      </c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A12" s="9" t="inlineStr">
        <is>
          <t>2.1</t>
        </is>
      </c>
      <c r="B12" s="10" t="inlineStr">
        <is>
          <t>P.C.C.</t>
        </is>
      </c>
      <c r="C12" s="11" t="n">
        <v>268</v>
      </c>
      <c r="D12" s="11" t="n">
        <v>2.5</v>
      </c>
      <c r="E12" s="11" t="n">
        <v>0.333</v>
      </c>
      <c r="F12" s="12">
        <f>C12*D12</f>
        <v/>
      </c>
      <c r="G12" s="13" t="inlineStr">
        <is>
          <t>-</t>
        </is>
      </c>
      <c r="H12" s="14" t="inlineStr">
        <is>
          <t>670.00 Sq.Ft</t>
        </is>
      </c>
    </row>
    <row r="13" ht="20" customHeight="1">
      <c r="A13" s="9" t="inlineStr">
        <is>
          <t>2.2</t>
        </is>
      </c>
      <c r="B13" s="10" t="inlineStr">
        <is>
          <t>Stone Work</t>
        </is>
      </c>
      <c r="C13" s="11" t="n">
        <v>268</v>
      </c>
      <c r="D13" s="11" t="n">
        <v>2</v>
      </c>
      <c r="E13" s="11" t="n">
        <v>1</v>
      </c>
      <c r="F13" s="13" t="inlineStr">
        <is>
          <t>-</t>
        </is>
      </c>
      <c r="G13" s="12">
        <f>C13*D13*E13</f>
        <v/>
      </c>
      <c r="H13" s="14" t="inlineStr">
        <is>
          <t>536.00 Cu.Ft</t>
        </is>
      </c>
    </row>
    <row r="14" ht="20" customHeight="1">
      <c r="A14" s="9" t="inlineStr">
        <is>
          <t>2.3</t>
        </is>
      </c>
      <c r="B14" s="10" t="inlineStr">
        <is>
          <t>Stone Work</t>
        </is>
      </c>
      <c r="C14" s="11" t="n">
        <v>252</v>
      </c>
      <c r="D14" s="11" t="n">
        <v>1.5</v>
      </c>
      <c r="E14" s="11" t="n">
        <v>2</v>
      </c>
      <c r="F14" s="13" t="inlineStr">
        <is>
          <t>-</t>
        </is>
      </c>
      <c r="G14" s="12">
        <f>C14*D14*E14</f>
        <v/>
      </c>
      <c r="H14" s="14" t="inlineStr">
        <is>
          <t>756.00 Cu.Ft</t>
        </is>
      </c>
    </row>
    <row r="15" ht="20" customHeight="1">
      <c r="A15" s="9" t="inlineStr">
        <is>
          <t>2.4</t>
        </is>
      </c>
      <c r="B15" s="10" t="inlineStr">
        <is>
          <t>P.C.C.</t>
        </is>
      </c>
      <c r="C15" s="11" t="n">
        <v>295</v>
      </c>
      <c r="D15" s="11" t="n">
        <v>2.5</v>
      </c>
      <c r="E15" s="11" t="n">
        <v>0.333</v>
      </c>
      <c r="F15" s="12">
        <f>C15*D15</f>
        <v/>
      </c>
      <c r="G15" s="13" t="inlineStr">
        <is>
          <t>-</t>
        </is>
      </c>
      <c r="H15" s="14" t="inlineStr">
        <is>
          <t>737.50 Sq.Ft</t>
        </is>
      </c>
    </row>
    <row r="16" ht="20" customHeight="1">
      <c r="A16" s="9" t="inlineStr">
        <is>
          <t>2.5</t>
        </is>
      </c>
      <c r="B16" s="10" t="inlineStr">
        <is>
          <t>Stone Work</t>
        </is>
      </c>
      <c r="C16" s="11" t="n">
        <v>295</v>
      </c>
      <c r="D16" s="11" t="n">
        <v>2</v>
      </c>
      <c r="E16" s="11" t="n">
        <v>1</v>
      </c>
      <c r="F16" s="13" t="inlineStr">
        <is>
          <t>-</t>
        </is>
      </c>
      <c r="G16" s="12">
        <f>C16*D16*E16</f>
        <v/>
      </c>
      <c r="H16" s="14" t="inlineStr">
        <is>
          <t>590.00 Cu.Ft</t>
        </is>
      </c>
    </row>
    <row r="17" ht="20" customHeight="1">
      <c r="A17" s="9" t="inlineStr">
        <is>
          <t>2.6</t>
        </is>
      </c>
      <c r="B17" s="10" t="inlineStr">
        <is>
          <t>Stone Work</t>
        </is>
      </c>
      <c r="C17" s="11" t="n">
        <v>101</v>
      </c>
      <c r="D17" s="11" t="n">
        <v>1.5</v>
      </c>
      <c r="E17" s="11" t="n">
        <v>2</v>
      </c>
      <c r="F17" s="13" t="inlineStr">
        <is>
          <t>-</t>
        </is>
      </c>
      <c r="G17" s="12">
        <f>C17*D17*E17</f>
        <v/>
      </c>
      <c r="H17" s="14" t="inlineStr">
        <is>
          <t>303.00 Cu.Ft</t>
        </is>
      </c>
    </row>
    <row r="18" ht="22" customHeight="1">
      <c r="A18" s="15" t="inlineStr">
        <is>
          <t>TOTAL P.C.C. AREA (SECTION 1)</t>
        </is>
      </c>
      <c r="B18" s="4" t="n"/>
      <c r="C18" s="4" t="n"/>
      <c r="D18" s="4" t="n"/>
      <c r="E18" s="4" t="n"/>
      <c r="F18" s="16">
        <f>+F8+F12+F15</f>
        <v/>
      </c>
      <c r="G18" s="17" t="inlineStr">
        <is>
          <t>Sq.Ft</t>
        </is>
      </c>
      <c r="H18" s="18" t="inlineStr">
        <is>
          <t>Handwritten: 1785.84 Sq.Ft</t>
        </is>
      </c>
    </row>
    <row r="19" ht="22" customHeight="1">
      <c r="A19" s="15" t="inlineStr">
        <is>
          <t>TOTAL STONE WORK VOLUME (SECTION 1)</t>
        </is>
      </c>
      <c r="B19" s="4" t="n"/>
      <c r="C19" s="4" t="n"/>
      <c r="D19" s="4" t="n"/>
      <c r="E19" s="4" t="n"/>
      <c r="F19" s="17" t="inlineStr">
        <is>
          <t>Cu.Ft</t>
        </is>
      </c>
      <c r="G19" s="16">
        <f>+G9+G10+G13+G14+G16+G17</f>
        <v/>
      </c>
      <c r="H19" s="18" t="inlineStr">
        <is>
          <t>Handwritten: 2746.86 Cu.Ft</t>
        </is>
      </c>
    </row>
    <row r="21" ht="26" customHeight="1">
      <c r="A21" s="5" t="inlineStr">
        <is>
          <t>SECTION 2: RECORD DATE - 09/07/2026</t>
        </is>
      </c>
    </row>
    <row r="22" ht="28" customHeight="1">
      <c r="A22" s="6" t="inlineStr">
        <is>
          <t>S.No</t>
        </is>
      </c>
      <c r="B22" s="6" t="inlineStr">
        <is>
          <t>Work Description</t>
        </is>
      </c>
      <c r="C22" s="6" t="inlineStr">
        <is>
          <t>Length (L) in ft</t>
        </is>
      </c>
      <c r="D22" s="6" t="inlineStr">
        <is>
          <t>Width (W) in ft</t>
        </is>
      </c>
      <c r="E22" s="6" t="inlineStr">
        <is>
          <t>Height/Depth (H) in ft</t>
        </is>
      </c>
      <c r="F22" s="6" t="inlineStr">
        <is>
          <t>P.C.C. Area (Sq.Ft)</t>
        </is>
      </c>
      <c r="G22" s="6" t="inlineStr">
        <is>
          <t>Stone Volume (Cu.Ft)</t>
        </is>
      </c>
      <c r="H22" s="6" t="inlineStr">
        <is>
          <t>Remarks / Handwritten Value</t>
        </is>
      </c>
    </row>
    <row r="23" ht="24" customHeight="1">
      <c r="A23" s="7" t="inlineStr">
        <is>
          <t>3. बाउंड्रीवाल नया कार्य (Boundary Wall New Work)</t>
        </is>
      </c>
      <c r="B23" s="8" t="n"/>
      <c r="C23" s="8" t="n"/>
      <c r="D23" s="8" t="n"/>
      <c r="E23" s="8" t="n"/>
      <c r="F23" s="8" t="n"/>
      <c r="G23" s="8" t="n"/>
      <c r="H23" s="8" t="n"/>
    </row>
    <row r="24" ht="20" customHeight="1">
      <c r="A24" s="9" t="inlineStr">
        <is>
          <t>3.1</t>
        </is>
      </c>
      <c r="B24" s="10" t="inlineStr">
        <is>
          <t>P.C.C.</t>
        </is>
      </c>
      <c r="C24" s="12" t="n">
        <v>1000</v>
      </c>
      <c r="D24" s="11" t="n">
        <v>2.5</v>
      </c>
      <c r="E24" s="11" t="n">
        <v>0.333</v>
      </c>
      <c r="F24" s="12">
        <f>C24*D24</f>
        <v/>
      </c>
      <c r="G24" s="13" t="inlineStr">
        <is>
          <t>-</t>
        </is>
      </c>
      <c r="H24" s="14" t="inlineStr">
        <is>
          <t>2500 Sq.Ft</t>
        </is>
      </c>
    </row>
    <row r="25" ht="20" customHeight="1">
      <c r="A25" s="9" t="inlineStr">
        <is>
          <t>3.2</t>
        </is>
      </c>
      <c r="B25" s="10" t="inlineStr">
        <is>
          <t>Stone Masonry</t>
        </is>
      </c>
      <c r="C25" s="12" t="n">
        <v>1000</v>
      </c>
      <c r="D25" s="11" t="n">
        <v>2</v>
      </c>
      <c r="E25" s="11" t="n">
        <v>1.5</v>
      </c>
      <c r="F25" s="13" t="inlineStr">
        <is>
          <t>-</t>
        </is>
      </c>
      <c r="G25" s="12">
        <f>C25*D25*E25</f>
        <v/>
      </c>
      <c r="H25" s="14" t="inlineStr">
        <is>
          <t>3000 Cu.Ft</t>
        </is>
      </c>
    </row>
    <row r="26" ht="20" customHeight="1">
      <c r="A26" s="9" t="inlineStr">
        <is>
          <t>3.3</t>
        </is>
      </c>
      <c r="B26" s="10" t="inlineStr">
        <is>
          <t>Stone Masonry</t>
        </is>
      </c>
      <c r="C26" s="12" t="n">
        <v>1000</v>
      </c>
      <c r="D26" s="11" t="n">
        <v>1.5</v>
      </c>
      <c r="E26" s="11" t="n">
        <v>1.5</v>
      </c>
      <c r="F26" s="13" t="inlineStr">
        <is>
          <t>-</t>
        </is>
      </c>
      <c r="G26" s="12">
        <f>C26*D26*E26</f>
        <v/>
      </c>
      <c r="H26" s="14" t="inlineStr">
        <is>
          <t>2250 Cu.Ft</t>
        </is>
      </c>
    </row>
    <row r="27" ht="22" customHeight="1">
      <c r="A27" s="15" t="inlineStr">
        <is>
          <t>TOTAL P.C.C. AREA (SECTION 2)</t>
        </is>
      </c>
      <c r="B27" s="4" t="n"/>
      <c r="C27" s="4" t="n"/>
      <c r="D27" s="4" t="n"/>
      <c r="E27" s="4" t="n"/>
      <c r="F27" s="16">
        <f>+F24</f>
        <v/>
      </c>
      <c r="G27" s="17" t="inlineStr">
        <is>
          <t>Sq.Ft</t>
        </is>
      </c>
      <c r="H27" s="18" t="inlineStr">
        <is>
          <t>Calculated: 2,500.00 Sq.Ft</t>
        </is>
      </c>
    </row>
    <row r="28" ht="22" customHeight="1">
      <c r="A28" s="15" t="inlineStr">
        <is>
          <t>TOTAL STONE WORK VOLUME (SECTION 2)</t>
        </is>
      </c>
      <c r="B28" s="4" t="n"/>
      <c r="C28" s="4" t="n"/>
      <c r="D28" s="4" t="n"/>
      <c r="E28" s="4" t="n"/>
      <c r="F28" s="17" t="inlineStr">
        <is>
          <t>Cu.Ft</t>
        </is>
      </c>
      <c r="G28" s="16">
        <f>+G25+G26</f>
        <v/>
      </c>
      <c r="H28" s="18" t="inlineStr">
        <is>
          <t>Calculated: 5,250.00 Cu.Ft</t>
        </is>
      </c>
    </row>
    <row r="30" ht="26" customHeight="1">
      <c r="A30" s="19" t="inlineStr">
        <is>
          <t>GRAND COMBINED TOTALS (ALL RECORDS)</t>
        </is>
      </c>
      <c r="B30" s="8" t="n"/>
      <c r="C30" s="8" t="n"/>
      <c r="D30" s="8" t="n"/>
      <c r="E30" s="8" t="n"/>
      <c r="F30" s="8" t="n"/>
      <c r="G30" s="8" t="n"/>
      <c r="H30" s="8" t="n"/>
    </row>
    <row r="31" ht="24" customHeight="1">
      <c r="A31" s="20" t="inlineStr">
        <is>
          <t>GRAND TOTAL P.C.C. AREA (SECTION 1 + 2)</t>
        </is>
      </c>
      <c r="B31" s="21" t="n"/>
      <c r="C31" s="21" t="n"/>
      <c r="D31" s="21" t="n"/>
      <c r="E31" s="21" t="n"/>
      <c r="F31" s="22">
        <f>F18+F27</f>
        <v/>
      </c>
      <c r="G31" s="23" t="inlineStr">
        <is>
          <t>Sq.Ft</t>
        </is>
      </c>
      <c r="H31" s="24" t="inlineStr">
        <is>
          <t>Combined PCC Area</t>
        </is>
      </c>
    </row>
    <row r="32" ht="24" customHeight="1">
      <c r="A32" s="25" t="inlineStr">
        <is>
          <t>GRAND TOTAL STONE WORK VOLUME (SECTION 1 + 2)</t>
        </is>
      </c>
      <c r="B32" s="26" t="n"/>
      <c r="C32" s="26" t="n"/>
      <c r="D32" s="26" t="n"/>
      <c r="E32" s="26" t="n"/>
      <c r="F32" s="27" t="inlineStr">
        <is>
          <t>Cu.Ft</t>
        </is>
      </c>
      <c r="G32" s="28">
        <f>G19+G28</f>
        <v/>
      </c>
      <c r="H32" s="29" t="inlineStr">
        <is>
          <t>Combined Stone Volume</t>
        </is>
      </c>
    </row>
    <row r="35" ht="24" customHeight="1">
      <c r="A35" s="30" t="inlineStr">
        <is>
          <t>SECTION 1 AUDIT: HANDWRITTEN VS. SYSTEM CALCULATED</t>
        </is>
      </c>
      <c r="B35" s="8" t="n"/>
      <c r="C35" s="8" t="n"/>
      <c r="D35" s="8" t="n"/>
      <c r="E35" s="8" t="n"/>
      <c r="F35" s="8" t="n"/>
      <c r="G35" s="8" t="n"/>
      <c r="H35" s="8" t="n"/>
    </row>
    <row r="36" ht="20" customHeight="1">
      <c r="A36" s="9" t="inlineStr">
        <is>
          <t>Item Category</t>
        </is>
      </c>
      <c r="B36" s="9" t="inlineStr">
        <is>
          <t>Handwritten Value</t>
        </is>
      </c>
      <c r="C36" s="9" t="inlineStr">
        <is>
          <t>Formula Calculated</t>
        </is>
      </c>
      <c r="D36" s="9" t="inlineStr">
        <is>
          <t>Difference</t>
        </is>
      </c>
      <c r="E36" s="31" t="inlineStr">
        <is>
          <t>Audit Note / Analysis</t>
        </is>
      </c>
      <c r="F36" s="8" t="n"/>
      <c r="G36" s="8" t="n"/>
      <c r="H36" s="8" t="n"/>
    </row>
    <row r="37" ht="20" customHeight="1">
      <c r="A37" s="10" t="inlineStr">
        <is>
          <t>Diggi Wall Stone (Item 1.2)</t>
        </is>
      </c>
      <c r="B37" s="11" t="n">
        <v>448.7</v>
      </c>
      <c r="C37" s="11">
        <f>G8</f>
        <v/>
      </c>
      <c r="D37" s="11">
        <f>B37-C37</f>
        <v/>
      </c>
      <c r="E37" s="32" t="inlineStr">
        <is>
          <t>74.78 * 2.0 * 3.0 equals 448.68 cft. Rounded to 448.70 in diary.</t>
        </is>
      </c>
      <c r="F37" s="32" t="n"/>
      <c r="G37" s="32" t="n"/>
      <c r="H37" s="32" t="n"/>
    </row>
    <row r="38" ht="20" customHeight="1">
      <c r="A38" s="10" t="inlineStr">
        <is>
          <t>Total P.C.C. Area</t>
        </is>
      </c>
      <c r="B38" s="11" t="n">
        <v>1785.84</v>
      </c>
      <c r="C38" s="11">
        <f>F18</f>
        <v/>
      </c>
      <c r="D38" s="11">
        <f>B38-C38</f>
        <v/>
      </c>
      <c r="E38" s="32" t="inlineStr">
        <is>
          <t>Handwritten total sum used '737' instead of '737.50' (omitted 0.5 sqft).</t>
        </is>
      </c>
      <c r="F38" s="32" t="n"/>
      <c r="G38" s="32" t="n"/>
      <c r="H38" s="32" t="n"/>
    </row>
  </sheetData>
  <mergeCells count="21">
    <mergeCell ref="A30:H30"/>
    <mergeCell ref="B3:C3"/>
    <mergeCell ref="A11:H11"/>
    <mergeCell ref="A1:H1"/>
    <mergeCell ref="E37:H37"/>
    <mergeCell ref="B2:C2"/>
    <mergeCell ref="E3:H3"/>
    <mergeCell ref="A7:H7"/>
    <mergeCell ref="A18:E18"/>
    <mergeCell ref="A27:E27"/>
    <mergeCell ref="A21:H21"/>
    <mergeCell ref="E38:H38"/>
    <mergeCell ref="A32:E32"/>
    <mergeCell ref="A5:H5"/>
    <mergeCell ref="A23:H23"/>
    <mergeCell ref="A35:H35"/>
    <mergeCell ref="A28:E28"/>
    <mergeCell ref="A19:E19"/>
    <mergeCell ref="A31:E31"/>
    <mergeCell ref="E2:H2"/>
    <mergeCell ref="E36:H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2026-07-21T16:24:10Z</dcterms:created>
  <dcterms:modified xmlns:dcterms="http://purl.org/dc/terms/" xmlns:xsi="http://www.w3.org/2001/XMLSchema-instance" xsi:type="dcterms:W3CDTF">2026-07-21T16:24:10Z</dcterms:modified>
</cp:coreProperties>
</file>