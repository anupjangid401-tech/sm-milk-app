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&amp; Payment Tracker" sheetId="1" state="visible" r:id="rId1"/>
    <sheet xmlns:r="http://schemas.openxmlformats.org/officeDocument/2006/relationships" name="Scope &amp; Pay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₹-en-IN]#,#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8"/>
      <sz val="10"/>
    </font>
    <font>
      <name val="Segoe UI"/>
      <b val="1"/>
      <color rgb="00595959"/>
      <sz val="9"/>
    </font>
    <font>
      <name val="Segoe UI"/>
      <b val="1"/>
      <color rgb="001F4E78"/>
      <sz val="14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.5"/>
    </font>
    <font>
      <name val="Segoe UI"/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4F7"/>
        <bgColor rgb="00F2F4F7"/>
      </patternFill>
    </fill>
    <fill>
      <patternFill patternType="solid">
        <fgColor rgb="002C4D75"/>
        <bgColor rgb="002C4D75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medium">
        <color rgb="001F4E78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8" fillId="8" borderId="3" applyAlignment="1" pivotButton="0" quotePrefix="0" xfId="0">
      <alignment horizontal="right" vertical="center"/>
    </xf>
    <xf numFmtId="0" fontId="0" fillId="8" borderId="3" pivotButton="0" quotePrefix="0" xfId="0"/>
    <xf numFmtId="164" fontId="8" fillId="8" borderId="3" applyAlignment="1" pivotButton="0" quotePrefix="0" xfId="0">
      <alignment horizontal="right" vertical="center"/>
    </xf>
    <xf numFmtId="165" fontId="8" fillId="8" borderId="3" applyAlignment="1" pivotButton="0" quotePrefix="0" xfId="0">
      <alignment horizontal="right" vertical="center"/>
    </xf>
    <xf numFmtId="0" fontId="8" fillId="8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2" customWidth="1" min="5" max="5"/>
    <col width="28" customWidth="1" min="6" max="6"/>
    <col width="38" customWidth="1" min="7" max="7"/>
    <col width="36" customWidth="1" min="8" max="8"/>
    <col width="20" customWidth="1" min="9" max="9"/>
    <col width="22" customWidth="1" min="10" max="10"/>
    <col width="22" customWidth="1" min="11" max="11"/>
    <col width="12" customWidth="1" min="12" max="12"/>
    <col width="18" customWidth="1" min="13" max="13"/>
    <col width="32" customWidth="1" min="14" max="14"/>
  </cols>
  <sheetData>
    <row r="1" ht="24" customHeight="1">
      <c r="A1" s="1" t="inlineStr">
        <is>
          <t>KHAVDA 442MW SOLAR PROJECT — VENDOR PO &amp; PAYMENT TRACKER</t>
        </is>
      </c>
    </row>
    <row r="2" ht="24" customHeight="1"/>
    <row r="3" ht="22" customHeight="1">
      <c r="A3" s="2" t="inlineStr">
        <is>
          <t>PROJECT: KHAVDA 442MW  |  DOCUMENT TYPE: RECONCILED PO &amp; VENDOR PAYABLE STATEMENT  |  DATE: 29-07-2026</t>
        </is>
      </c>
    </row>
    <row r="4" ht="12" customHeight="1"/>
    <row r="5" ht="18" customHeight="1">
      <c r="B5" s="3" t="inlineStr">
        <is>
          <t>TOTAL VENDORS</t>
        </is>
      </c>
      <c r="C5" s="4" t="n"/>
      <c r="E5" s="3" t="inlineStr">
        <is>
          <t>TOTAL PAID AS ON DATE</t>
        </is>
      </c>
      <c r="F5" s="4" t="n"/>
      <c r="H5" s="3" t="inlineStr">
        <is>
          <t>TOTAL OUTSTANDING PAYABLE</t>
        </is>
      </c>
      <c r="I5" s="4" t="n"/>
      <c r="K5" s="3" t="inlineStr">
        <is>
          <t>TOTAL CONTRACT VALUE</t>
        </is>
      </c>
      <c r="L5" s="4" t="n"/>
      <c r="M5" s="3" t="inlineStr">
        <is>
          <t>OVERALL PAID RATIO</t>
        </is>
      </c>
      <c r="N5" s="4" t="n"/>
    </row>
    <row r="6" ht="26" customHeight="1">
      <c r="B6" s="5">
        <f>COUNTA(C10:C53)</f>
        <v/>
      </c>
      <c r="C6" s="4" t="n"/>
      <c r="E6" s="6">
        <f>I54</f>
        <v/>
      </c>
      <c r="F6" s="4" t="n"/>
      <c r="H6" s="6">
        <f>J54</f>
        <v/>
      </c>
      <c r="I6" s="4" t="n"/>
      <c r="K6" s="6">
        <f>K54</f>
        <v/>
      </c>
      <c r="L6" s="4" t="n"/>
      <c r="M6" s="7">
        <f>I54/K54</f>
        <v/>
      </c>
      <c r="N6" s="4" t="n"/>
    </row>
    <row r="7" ht="14" customHeight="1"/>
    <row r="8" ht="10" customHeight="1"/>
    <row r="9" ht="28" customHeight="1">
      <c r="A9" s="8" t="inlineStr">
        <is>
          <t>S.No.</t>
        </is>
      </c>
      <c r="B9" s="8" t="inlineStr">
        <is>
          <t>Ref Sr.</t>
        </is>
      </c>
      <c r="C9" s="8" t="inlineStr">
        <is>
          <t>PO Number</t>
        </is>
      </c>
      <c r="D9" s="8" t="inlineStr">
        <is>
          <t>Project Name</t>
        </is>
      </c>
      <c r="E9" s="8" t="inlineStr">
        <is>
          <t>Type</t>
        </is>
      </c>
      <c r="F9" s="8" t="inlineStr">
        <is>
          <t>Description / Scope</t>
        </is>
      </c>
      <c r="G9" s="8" t="inlineStr">
        <is>
          <t>Company / Vendor Firm Name</t>
        </is>
      </c>
      <c r="H9" s="8" t="inlineStr">
        <is>
          <t>Vendor Contact / Representative</t>
        </is>
      </c>
      <c r="I9" s="8" t="inlineStr">
        <is>
          <t>Paid As On (₹)</t>
        </is>
      </c>
      <c r="J9" s="8" t="inlineStr">
        <is>
          <t>Amount to be Paid (₹)</t>
        </is>
      </c>
      <c r="K9" s="8" t="inlineStr">
        <is>
          <t>Total Value (₹)</t>
        </is>
      </c>
      <c r="L9" s="8" t="inlineStr">
        <is>
          <t>Paid %</t>
        </is>
      </c>
      <c r="M9" s="8" t="inlineStr">
        <is>
          <t>Payment Status</t>
        </is>
      </c>
      <c r="N9" s="8" t="inlineStr">
        <is>
          <t>Audit / Highlight Notes</t>
        </is>
      </c>
    </row>
    <row r="10" ht="20" customHeight="1">
      <c r="A10" s="9" t="n">
        <v>1</v>
      </c>
      <c r="B10" s="9" t="n">
        <v>8</v>
      </c>
      <c r="C10" s="9" t="inlineStr">
        <is>
          <t>6002526032</t>
        </is>
      </c>
      <c r="D10" s="9" t="inlineStr">
        <is>
          <t>KHAVDA 442MW</t>
        </is>
      </c>
      <c r="E10" s="9" t="inlineStr">
        <is>
          <t>Service</t>
        </is>
      </c>
      <c r="F10" s="10" t="inlineStr">
        <is>
          <t>Piling Work</t>
        </is>
      </c>
      <c r="G10" s="10" t="inlineStr">
        <is>
          <t>VIBRANT CONSTRUCTION COMPANY</t>
        </is>
      </c>
      <c r="H10" s="10" t="inlineStr">
        <is>
          <t>Mohamad (6360589955)</t>
        </is>
      </c>
      <c r="I10" s="11" t="n">
        <v>8142757</v>
      </c>
      <c r="J10" s="11" t="n">
        <v>500000</v>
      </c>
      <c r="K10" s="12">
        <f>I10+J10</f>
        <v/>
      </c>
      <c r="L10" s="13">
        <f>IF(K10&gt;0, I10/K10, 0)</f>
        <v/>
      </c>
      <c r="M10" s="14">
        <f>IF(J10=0,"FULLY PAID",IF(I10=0,"PENDING","PARTIAL"))</f>
        <v/>
      </c>
      <c r="N10" s="10" t="inlineStr"/>
    </row>
    <row r="11" ht="20" customHeight="1">
      <c r="A11" s="15" t="n">
        <v>2</v>
      </c>
      <c r="B11" s="15" t="n">
        <v>16</v>
      </c>
      <c r="C11" s="15" t="inlineStr">
        <is>
          <t>6002526062</t>
        </is>
      </c>
      <c r="D11" s="15" t="inlineStr">
        <is>
          <t>KHAVDA 442MW</t>
        </is>
      </c>
      <c r="E11" s="15" t="inlineStr">
        <is>
          <t>Service</t>
        </is>
      </c>
      <c r="F11" s="16" t="inlineStr">
        <is>
          <t>Erection of MMS</t>
        </is>
      </c>
      <c r="G11" s="16" t="inlineStr">
        <is>
          <t>Murlidhar Fabrication</t>
        </is>
      </c>
      <c r="H11" s="16" t="inlineStr">
        <is>
          <t>Suresh Kumar (+91 99783 01708)</t>
        </is>
      </c>
      <c r="I11" s="17" t="n">
        <v>2684889</v>
      </c>
      <c r="J11" s="17" t="n">
        <v>1460059</v>
      </c>
      <c r="K11" s="18">
        <f>I11+J11</f>
        <v/>
      </c>
      <c r="L11" s="19">
        <f>IF(K11&gt;0, I11/K11, 0)</f>
        <v/>
      </c>
      <c r="M11" s="20">
        <f>IF(J11=0,"FULLY PAID",IF(I11=0,"PENDING","PARTIAL"))</f>
        <v/>
      </c>
      <c r="N11" s="16" t="inlineStr"/>
    </row>
    <row r="12" ht="20" customHeight="1">
      <c r="A12" s="9" t="n">
        <v>3</v>
      </c>
      <c r="B12" s="9" t="n">
        <v>17</v>
      </c>
      <c r="C12" s="9" t="inlineStr">
        <is>
          <t>6002526026</t>
        </is>
      </c>
      <c r="D12" s="9" t="inlineStr">
        <is>
          <t>KHAVDA 442MW</t>
        </is>
      </c>
      <c r="E12" s="9" t="inlineStr">
        <is>
          <t>Service</t>
        </is>
      </c>
      <c r="F12" s="10" t="inlineStr">
        <is>
          <t>Erection of MMS</t>
        </is>
      </c>
      <c r="G12" s="10" t="inlineStr">
        <is>
          <t>Choudhary Electric Constrution</t>
        </is>
      </c>
      <c r="H12" s="10" t="inlineStr">
        <is>
          <t>Sarvan Choudhary +91 90013 29239</t>
        </is>
      </c>
      <c r="I12" s="11" t="n">
        <v>8361290</v>
      </c>
      <c r="J12" s="11" t="n">
        <v>2507431</v>
      </c>
      <c r="K12" s="12">
        <f>I12+J12</f>
        <v/>
      </c>
      <c r="L12" s="13">
        <f>IF(K12&gt;0, I12/K12, 0)</f>
        <v/>
      </c>
      <c r="M12" s="14">
        <f>IF(J12=0,"FULLY PAID",IF(I12=0,"PENDING","PARTIAL"))</f>
        <v/>
      </c>
      <c r="N12" s="10" t="inlineStr"/>
    </row>
    <row r="13" ht="20" customHeight="1">
      <c r="A13" s="15" t="n">
        <v>4</v>
      </c>
      <c r="B13" s="15" t="n">
        <v>22</v>
      </c>
      <c r="C13" s="15" t="inlineStr">
        <is>
          <t>6002526025</t>
        </is>
      </c>
      <c r="D13" s="15" t="inlineStr">
        <is>
          <t>KHAVDA 442MW</t>
        </is>
      </c>
      <c r="E13" s="15" t="inlineStr">
        <is>
          <t>Service</t>
        </is>
      </c>
      <c r="F13" s="16" t="inlineStr">
        <is>
          <t>Supply Of White Sand</t>
        </is>
      </c>
      <c r="G13" s="16" t="inlineStr">
        <is>
          <t>R.K.PROJECT</t>
        </is>
      </c>
      <c r="H13" s="16" t="inlineStr">
        <is>
          <t>GAGAL RAMESHBHAI (+91 6354263514)</t>
        </is>
      </c>
      <c r="I13" s="17" t="n">
        <v>5216596</v>
      </c>
      <c r="J13" s="17" t="n">
        <v>24170</v>
      </c>
      <c r="K13" s="18">
        <f>I13+J13</f>
        <v/>
      </c>
      <c r="L13" s="19">
        <f>IF(K13&gt;0, I13/K13, 0)</f>
        <v/>
      </c>
      <c r="M13" s="20">
        <f>IF(J13=0,"FULLY PAID",IF(I13=0,"PENDING","PARTIAL"))</f>
        <v/>
      </c>
      <c r="N13" s="16" t="inlineStr"/>
    </row>
    <row r="14" ht="20" customHeight="1">
      <c r="A14" s="9" t="n">
        <v>5</v>
      </c>
      <c r="B14" s="9" t="n">
        <v>24</v>
      </c>
      <c r="C14" s="9" t="inlineStr">
        <is>
          <t>6002526050</t>
        </is>
      </c>
      <c r="D14" s="9" t="inlineStr">
        <is>
          <t>KHAVDA 442MW</t>
        </is>
      </c>
      <c r="E14" s="9" t="inlineStr">
        <is>
          <t>Service</t>
        </is>
      </c>
      <c r="F14" s="10" t="inlineStr">
        <is>
          <t>DG</t>
        </is>
      </c>
      <c r="G14" s="10" t="inlineStr">
        <is>
          <t>PALIWAL BUILDING MATERIAL</t>
        </is>
      </c>
      <c r="H14" s="10" t="inlineStr">
        <is>
          <t>Lalit-</t>
        </is>
      </c>
      <c r="I14" s="11" t="n">
        <v>1606082</v>
      </c>
      <c r="J14" s="11" t="n">
        <v>250000</v>
      </c>
      <c r="K14" s="12">
        <f>I14+J14</f>
        <v/>
      </c>
      <c r="L14" s="13">
        <f>IF(K14&gt;0, I14/K14, 0)</f>
        <v/>
      </c>
      <c r="M14" s="14">
        <f>IF(J14=0,"FULLY PAID",IF(I14=0,"PENDING","PARTIAL"))</f>
        <v/>
      </c>
      <c r="N14" s="10" t="inlineStr"/>
    </row>
    <row r="15" ht="20" customHeight="1">
      <c r="A15" s="15" t="n">
        <v>6</v>
      </c>
      <c r="B15" s="15" t="n">
        <v>25</v>
      </c>
      <c r="C15" s="15" t="inlineStr">
        <is>
          <t>6002526051</t>
        </is>
      </c>
      <c r="D15" s="15" t="inlineStr">
        <is>
          <t>KHAVDA 442MW</t>
        </is>
      </c>
      <c r="E15" s="15" t="inlineStr">
        <is>
          <t>Service</t>
        </is>
      </c>
      <c r="F15" s="16" t="inlineStr">
        <is>
          <t>HT Cable laying</t>
        </is>
      </c>
      <c r="G15" s="16" t="inlineStr">
        <is>
          <t>SUPER ELECTRO POWER POONA RAM</t>
        </is>
      </c>
      <c r="H15" s="16" t="inlineStr">
        <is>
          <t>Poona ram</t>
        </is>
      </c>
      <c r="I15" s="17" t="n">
        <v>3817310</v>
      </c>
      <c r="J15" s="17" t="n">
        <v>213861</v>
      </c>
      <c r="K15" s="18">
        <f>I15+J15</f>
        <v/>
      </c>
      <c r="L15" s="19">
        <f>IF(K15&gt;0, I15/K15, 0)</f>
        <v/>
      </c>
      <c r="M15" s="20">
        <f>IF(J15=0,"FULLY PAID",IF(I15=0,"PENDING","PARTIAL"))</f>
        <v/>
      </c>
      <c r="N15" s="16" t="inlineStr"/>
    </row>
    <row r="16" ht="20" customHeight="1">
      <c r="A16" s="21" t="n">
        <v>7</v>
      </c>
      <c r="B16" s="21" t="n">
        <v>27</v>
      </c>
      <c r="C16" s="21" t="inlineStr">
        <is>
          <t>6002526061</t>
        </is>
      </c>
      <c r="D16" s="21" t="inlineStr">
        <is>
          <t>KHAVDA 442MW</t>
        </is>
      </c>
      <c r="E16" s="21" t="inlineStr">
        <is>
          <t>Service</t>
        </is>
      </c>
      <c r="F16" s="22" t="inlineStr">
        <is>
          <t>VLF Testing</t>
        </is>
      </c>
      <c r="G16" s="22" t="inlineStr">
        <is>
          <t>TNM GENIE PRIVATE LIMITED</t>
        </is>
      </c>
      <c r="H16" s="22" t="inlineStr">
        <is>
          <t>Saravanakkumar +91 9741402787</t>
        </is>
      </c>
      <c r="I16" s="23" t="n">
        <v>664070</v>
      </c>
      <c r="J16" s="23" t="n">
        <v>44314</v>
      </c>
      <c r="K16" s="24">
        <f>I16+J16</f>
        <v/>
      </c>
      <c r="L16" s="25">
        <f>IF(K16&gt;0, I16/K16, 0)</f>
        <v/>
      </c>
      <c r="M16" s="26">
        <f>IF(J16=0,"FULLY PAID",IF(I16=0,"PENDING","PARTIAL"))</f>
        <v/>
      </c>
      <c r="N16" s="22" t="inlineStr">
        <is>
          <t>Highlighted Yellow in Statement</t>
        </is>
      </c>
    </row>
    <row r="17" ht="20" customHeight="1">
      <c r="A17" s="15" t="n">
        <v>8</v>
      </c>
      <c r="B17" s="15" t="n">
        <v>31</v>
      </c>
      <c r="C17" s="15" t="inlineStr">
        <is>
          <t>6002526072</t>
        </is>
      </c>
      <c r="D17" s="15" t="inlineStr">
        <is>
          <t>KHAVDA 442MW</t>
        </is>
      </c>
      <c r="E17" s="15" t="inlineStr">
        <is>
          <t>Service</t>
        </is>
      </c>
      <c r="F17" s="16" t="inlineStr">
        <is>
          <t>Erection of MMS</t>
        </is>
      </c>
      <c r="G17" s="16" t="inlineStr">
        <is>
          <t>PUSHPA ENTERPRISES</t>
        </is>
      </c>
      <c r="H17" s="16" t="inlineStr">
        <is>
          <t>RAM KUMAR (+91 97259 87924)</t>
        </is>
      </c>
      <c r="I17" s="17" t="n">
        <v>2426646</v>
      </c>
      <c r="J17" s="17" t="n">
        <v>222850</v>
      </c>
      <c r="K17" s="18">
        <f>I17+J17</f>
        <v/>
      </c>
      <c r="L17" s="19">
        <f>IF(K17&gt;0, I17/K17, 0)</f>
        <v/>
      </c>
      <c r="M17" s="20">
        <f>IF(J17=0,"FULLY PAID",IF(I17=0,"PENDING","PARTIAL"))</f>
        <v/>
      </c>
      <c r="N17" s="16" t="inlineStr"/>
    </row>
    <row r="18" ht="20" customHeight="1">
      <c r="A18" s="9" t="n">
        <v>9</v>
      </c>
      <c r="B18" s="9" t="n">
        <v>15</v>
      </c>
      <c r="C18" s="9" t="inlineStr">
        <is>
          <t>6002526084</t>
        </is>
      </c>
      <c r="D18" s="9" t="inlineStr">
        <is>
          <t>KHAVDA 442MW</t>
        </is>
      </c>
      <c r="E18" s="9" t="inlineStr">
        <is>
          <t>Service</t>
        </is>
      </c>
      <c r="F18" s="10" t="inlineStr">
        <is>
          <t>Erection of MMS</t>
        </is>
      </c>
      <c r="G18" s="10" t="inlineStr">
        <is>
          <t>R P CONSTRUCTION</t>
        </is>
      </c>
      <c r="H18" s="10" t="inlineStr">
        <is>
          <t>BAYUNANDAN PANDE (92419 50137)</t>
        </is>
      </c>
      <c r="I18" s="11" t="n">
        <v>1651357</v>
      </c>
      <c r="J18" s="11" t="n">
        <v>35435</v>
      </c>
      <c r="K18" s="12">
        <f>I18+J18</f>
        <v/>
      </c>
      <c r="L18" s="13">
        <f>IF(K18&gt;0, I18/K18, 0)</f>
        <v/>
      </c>
      <c r="M18" s="14">
        <f>IF(J18=0,"FULLY PAID",IF(I18=0,"PENDING","PARTIAL"))</f>
        <v/>
      </c>
      <c r="N18" s="10" t="inlineStr"/>
    </row>
    <row r="19" ht="20" customHeight="1">
      <c r="A19" s="15" t="n">
        <v>10</v>
      </c>
      <c r="B19" s="15" t="n">
        <v>17</v>
      </c>
      <c r="C19" s="15" t="inlineStr">
        <is>
          <t>6002526087</t>
        </is>
      </c>
      <c r="D19" s="15" t="inlineStr">
        <is>
          <t>KHAVDA 442MW</t>
        </is>
      </c>
      <c r="E19" s="15" t="inlineStr">
        <is>
          <t>Service</t>
        </is>
      </c>
      <c r="F19" s="16" t="inlineStr">
        <is>
          <t>Erection of MMS</t>
        </is>
      </c>
      <c r="G19" s="16" t="inlineStr">
        <is>
          <t>AKSHAR CORPORATION</t>
        </is>
      </c>
      <c r="H19" s="16" t="inlineStr">
        <is>
          <t>MEHULKUMAR VASUDEVBHAI PATEL</t>
        </is>
      </c>
      <c r="I19" s="17" t="n">
        <v>2636044</v>
      </c>
      <c r="J19" s="17" t="n">
        <v>456175</v>
      </c>
      <c r="K19" s="18">
        <f>I19+J19</f>
        <v/>
      </c>
      <c r="L19" s="19">
        <f>IF(K19&gt;0, I19/K19, 0)</f>
        <v/>
      </c>
      <c r="M19" s="20">
        <f>IF(J19=0,"FULLY PAID",IF(I19=0,"PENDING","PARTIAL"))</f>
        <v/>
      </c>
      <c r="N19" s="16" t="inlineStr"/>
    </row>
    <row r="20" ht="20" customHeight="1">
      <c r="A20" s="9" t="n">
        <v>11</v>
      </c>
      <c r="B20" s="9" t="n">
        <v>19</v>
      </c>
      <c r="C20" s="9" t="inlineStr">
        <is>
          <t>6002526091</t>
        </is>
      </c>
      <c r="D20" s="9" t="inlineStr">
        <is>
          <t>KHAVDA 442MW</t>
        </is>
      </c>
      <c r="E20" s="9" t="inlineStr">
        <is>
          <t>Service</t>
        </is>
      </c>
      <c r="F20" s="10" t="inlineStr">
        <is>
          <t>Erection of MMS</t>
        </is>
      </c>
      <c r="G20" s="10" t="inlineStr">
        <is>
          <t>ADITYA POWER TECHNOLOGIES</t>
        </is>
      </c>
      <c r="H20" s="10" t="inlineStr">
        <is>
          <t>Hemang Patel</t>
        </is>
      </c>
      <c r="I20" s="11" t="n">
        <v>620240</v>
      </c>
      <c r="J20" s="11" t="n">
        <v>428614</v>
      </c>
      <c r="K20" s="12">
        <f>I20+J20</f>
        <v/>
      </c>
      <c r="L20" s="13">
        <f>IF(K20&gt;0, I20/K20, 0)</f>
        <v/>
      </c>
      <c r="M20" s="14">
        <f>IF(J20=0,"FULLY PAID",IF(I20=0,"PENDING","PARTIAL"))</f>
        <v/>
      </c>
      <c r="N20" s="10" t="inlineStr"/>
    </row>
    <row r="21" ht="20" customHeight="1">
      <c r="A21" s="15" t="n">
        <v>12</v>
      </c>
      <c r="B21" s="15" t="n">
        <v>20</v>
      </c>
      <c r="C21" s="15" t="inlineStr">
        <is>
          <t>6002526092</t>
        </is>
      </c>
      <c r="D21" s="15" t="inlineStr">
        <is>
          <t>KHAVDA 442MW</t>
        </is>
      </c>
      <c r="E21" s="15" t="inlineStr">
        <is>
          <t>Service</t>
        </is>
      </c>
      <c r="F21" s="16" t="inlineStr">
        <is>
          <t>Erection of MMS</t>
        </is>
      </c>
      <c r="G21" s="16" t="inlineStr">
        <is>
          <t>SABNAM ENTERPRISE</t>
        </is>
      </c>
      <c r="H21" s="16" t="inlineStr">
        <is>
          <t>SABNAM BANU</t>
        </is>
      </c>
      <c r="I21" s="17" t="n">
        <v>2883657</v>
      </c>
      <c r="J21" s="17" t="n">
        <v>423482</v>
      </c>
      <c r="K21" s="18">
        <f>I21+J21</f>
        <v/>
      </c>
      <c r="L21" s="19">
        <f>IF(K21&gt;0, I21/K21, 0)</f>
        <v/>
      </c>
      <c r="M21" s="20">
        <f>IF(J21=0,"FULLY PAID",IF(I21=0,"PENDING","PARTIAL"))</f>
        <v/>
      </c>
      <c r="N21" s="16" t="inlineStr"/>
    </row>
    <row r="22" ht="20" customHeight="1">
      <c r="A22" s="9" t="n">
        <v>13</v>
      </c>
      <c r="B22" s="9" t="n">
        <v>27</v>
      </c>
      <c r="C22" s="9" t="inlineStr">
        <is>
          <t>6002526110</t>
        </is>
      </c>
      <c r="D22" s="9" t="inlineStr">
        <is>
          <t>KHAVDA 442MW</t>
        </is>
      </c>
      <c r="E22" s="9" t="inlineStr">
        <is>
          <t>Service</t>
        </is>
      </c>
      <c r="F22" s="10" t="inlineStr">
        <is>
          <t>Erection of MMS</t>
        </is>
      </c>
      <c r="G22" s="10" t="inlineStr">
        <is>
          <t>Polyvision India</t>
        </is>
      </c>
      <c r="H22" s="10" t="inlineStr">
        <is>
          <t>Mahesh Ganesh Patel (9819343954)</t>
        </is>
      </c>
      <c r="I22" s="11" t="n">
        <v>1156520</v>
      </c>
      <c r="J22" s="11" t="n">
        <v>300000</v>
      </c>
      <c r="K22" s="12">
        <f>I22+J22</f>
        <v/>
      </c>
      <c r="L22" s="13">
        <f>IF(K22&gt;0, I22/K22, 0)</f>
        <v/>
      </c>
      <c r="M22" s="14">
        <f>IF(J22=0,"FULLY PAID",IF(I22=0,"PENDING","PARTIAL"))</f>
        <v/>
      </c>
      <c r="N22" s="10" t="inlineStr"/>
    </row>
    <row r="23" ht="20" customHeight="1">
      <c r="A23" s="15" t="n">
        <v>14</v>
      </c>
      <c r="B23" s="15" t="n">
        <v>29</v>
      </c>
      <c r="C23" s="15" t="inlineStr">
        <is>
          <t>6002526112</t>
        </is>
      </c>
      <c r="D23" s="15" t="inlineStr">
        <is>
          <t>KHAVDA 442MW</t>
        </is>
      </c>
      <c r="E23" s="15" t="inlineStr">
        <is>
          <t>Service</t>
        </is>
      </c>
      <c r="F23" s="16" t="inlineStr">
        <is>
          <t>Erection of MMS</t>
        </is>
      </c>
      <c r="G23" s="16" t="inlineStr">
        <is>
          <t>M/S NITYA DEV ENTERPRISES</t>
        </is>
      </c>
      <c r="H23" s="16" t="inlineStr">
        <is>
          <t>SANDEEP KUMAR (+91 9992279349, 9467496874)</t>
        </is>
      </c>
      <c r="I23" s="17" t="n">
        <v>236952</v>
      </c>
      <c r="J23" s="17" t="n">
        <v>209366</v>
      </c>
      <c r="K23" s="18">
        <f>I23+J23</f>
        <v/>
      </c>
      <c r="L23" s="19">
        <f>IF(K23&gt;0, I23/K23, 0)</f>
        <v/>
      </c>
      <c r="M23" s="20">
        <f>IF(J23=0,"FULLY PAID",IF(I23=0,"PENDING","PARTIAL"))</f>
        <v/>
      </c>
      <c r="N23" s="16" t="inlineStr"/>
    </row>
    <row r="24" ht="20" customHeight="1">
      <c r="A24" s="9" t="n">
        <v>15</v>
      </c>
      <c r="B24" s="9" t="n">
        <v>30</v>
      </c>
      <c r="C24" s="9" t="inlineStr">
        <is>
          <t>6002526113</t>
        </is>
      </c>
      <c r="D24" s="9" t="inlineStr">
        <is>
          <t>KHAVDA 442MW</t>
        </is>
      </c>
      <c r="E24" s="9" t="inlineStr">
        <is>
          <t>Service</t>
        </is>
      </c>
      <c r="F24" s="10" t="inlineStr">
        <is>
          <t>AC-DC Work</t>
        </is>
      </c>
      <c r="G24" s="10" t="inlineStr">
        <is>
          <t>TD ELECTRICAL &amp; SOLAR</t>
        </is>
      </c>
      <c r="H24" s="10" t="inlineStr">
        <is>
          <t>TAPOMOY DEY: +91 7602143142</t>
        </is>
      </c>
      <c r="I24" s="11" t="n">
        <v>2280000</v>
      </c>
      <c r="J24" s="11" t="n">
        <v>150000</v>
      </c>
      <c r="K24" s="12">
        <f>I24+J24</f>
        <v/>
      </c>
      <c r="L24" s="13">
        <f>IF(K24&gt;0, I24/K24, 0)</f>
        <v/>
      </c>
      <c r="M24" s="14">
        <f>IF(J24=0,"FULLY PAID",IF(I24=0,"PENDING","PARTIAL"))</f>
        <v/>
      </c>
      <c r="N24" s="10" t="inlineStr"/>
    </row>
    <row r="25" ht="20" customHeight="1">
      <c r="A25" s="15" t="n">
        <v>16</v>
      </c>
      <c r="B25" s="15" t="n">
        <v>31</v>
      </c>
      <c r="C25" s="15" t="inlineStr">
        <is>
          <t>6002526115</t>
        </is>
      </c>
      <c r="D25" s="15" t="inlineStr">
        <is>
          <t>KHAVDA 442MW</t>
        </is>
      </c>
      <c r="E25" s="15" t="inlineStr">
        <is>
          <t>Service</t>
        </is>
      </c>
      <c r="F25" s="16" t="inlineStr">
        <is>
          <t>Erection of MMS</t>
        </is>
      </c>
      <c r="G25" s="16" t="inlineStr">
        <is>
          <t>Mahadev Infratech Enterprises</t>
        </is>
      </c>
      <c r="H25" s="16" t="inlineStr">
        <is>
          <t>Hari Ram 9983414884, 8239971600</t>
        </is>
      </c>
      <c r="I25" s="17" t="n">
        <v>555841</v>
      </c>
      <c r="J25" s="17" t="n">
        <v>100361</v>
      </c>
      <c r="K25" s="18">
        <f>I25+J25</f>
        <v/>
      </c>
      <c r="L25" s="19">
        <f>IF(K25&gt;0, I25/K25, 0)</f>
        <v/>
      </c>
      <c r="M25" s="20">
        <f>IF(J25=0,"FULLY PAID",IF(I25=0,"PENDING","PARTIAL"))</f>
        <v/>
      </c>
      <c r="N25" s="16" t="inlineStr"/>
    </row>
    <row r="26" ht="20" customHeight="1">
      <c r="A26" s="9" t="n">
        <v>17</v>
      </c>
      <c r="B26" s="9" t="n">
        <v>32</v>
      </c>
      <c r="C26" s="9" t="inlineStr">
        <is>
          <t>6002526120</t>
        </is>
      </c>
      <c r="D26" s="9" t="inlineStr">
        <is>
          <t>KHAVDA 442MW</t>
        </is>
      </c>
      <c r="E26" s="9" t="inlineStr">
        <is>
          <t>Service</t>
        </is>
      </c>
      <c r="F26" s="10" t="inlineStr">
        <is>
          <t>LT &amp; Earthing Trench Work</t>
        </is>
      </c>
      <c r="G26" s="10" t="inlineStr">
        <is>
          <t>R.K.PROJECT</t>
        </is>
      </c>
      <c r="H26" s="10" t="inlineStr">
        <is>
          <t>GAGAL RAMESHBHAI (+91 6354263514)</t>
        </is>
      </c>
      <c r="I26" s="11" t="n">
        <v>0</v>
      </c>
      <c r="J26" s="11" t="n">
        <v>608934</v>
      </c>
      <c r="K26" s="12">
        <f>I26+J26</f>
        <v/>
      </c>
      <c r="L26" s="13">
        <f>IF(K26&gt;0, I26/K26, 0)</f>
        <v/>
      </c>
      <c r="M26" s="14">
        <f>IF(J26=0,"FULLY PAID",IF(I26=0,"PENDING","PARTIAL"))</f>
        <v/>
      </c>
      <c r="N26" s="10" t="inlineStr">
        <is>
          <t>Entire Payment Pending</t>
        </is>
      </c>
    </row>
    <row r="27" ht="20" customHeight="1">
      <c r="A27" s="15" t="n">
        <v>18</v>
      </c>
      <c r="B27" s="15" t="n">
        <v>36</v>
      </c>
      <c r="C27" s="15" t="inlineStr">
        <is>
          <t>6002526132</t>
        </is>
      </c>
      <c r="D27" s="15" t="inlineStr">
        <is>
          <t>KHAVDA 442MW</t>
        </is>
      </c>
      <c r="E27" s="15" t="inlineStr">
        <is>
          <t>Service</t>
        </is>
      </c>
      <c r="F27" s="16" t="inlineStr">
        <is>
          <t>Hiring of Vechile</t>
        </is>
      </c>
      <c r="G27" s="16" t="inlineStr">
        <is>
          <t>R.S.B.T. SUPPLIERS</t>
        </is>
      </c>
      <c r="H27" s="16" t="inlineStr">
        <is>
          <t>Praveen bhalothia (+91 6005289994, 9879393598)</t>
        </is>
      </c>
      <c r="I27" s="17" t="n">
        <v>1458428</v>
      </c>
      <c r="J27" s="17" t="n">
        <v>496440</v>
      </c>
      <c r="K27" s="18">
        <f>I27+J27</f>
        <v/>
      </c>
      <c r="L27" s="19">
        <f>IF(K27&gt;0, I27/K27, 0)</f>
        <v/>
      </c>
      <c r="M27" s="20">
        <f>IF(J27=0,"FULLY PAID",IF(I27=0,"PENDING","PARTIAL"))</f>
        <v/>
      </c>
      <c r="N27" s="16" t="inlineStr"/>
    </row>
    <row r="28" ht="20" customHeight="1">
      <c r="A28" s="9" t="n">
        <v>19</v>
      </c>
      <c r="B28" s="9" t="n">
        <v>41</v>
      </c>
      <c r="C28" s="9" t="inlineStr">
        <is>
          <t>6002526145</t>
        </is>
      </c>
      <c r="D28" s="9" t="inlineStr">
        <is>
          <t>KHAVDA 442MW</t>
        </is>
      </c>
      <c r="E28" s="9" t="inlineStr">
        <is>
          <t>Service</t>
        </is>
      </c>
      <c r="F28" s="10" t="inlineStr">
        <is>
          <t>Erection of MMS</t>
        </is>
      </c>
      <c r="G28" s="10" t="inlineStr">
        <is>
          <t>OZONE INFRA</t>
        </is>
      </c>
      <c r="H28" s="10" t="inlineStr">
        <is>
          <t>AMIT KUMAR BAJPAI (+91 9554523222)</t>
        </is>
      </c>
      <c r="I28" s="11" t="n">
        <v>1635481</v>
      </c>
      <c r="J28" s="11" t="n">
        <v>908870</v>
      </c>
      <c r="K28" s="12">
        <f>I28+J28</f>
        <v/>
      </c>
      <c r="L28" s="13">
        <f>IF(K28&gt;0, I28/K28, 0)</f>
        <v/>
      </c>
      <c r="M28" s="14">
        <f>IF(J28=0,"FULLY PAID",IF(I28=0,"PENDING","PARTIAL"))</f>
        <v/>
      </c>
      <c r="N28" s="10" t="inlineStr"/>
    </row>
    <row r="29" ht="20" customHeight="1">
      <c r="A29" s="15" t="n">
        <v>20</v>
      </c>
      <c r="B29" s="15" t="n">
        <v>43</v>
      </c>
      <c r="C29" s="15" t="inlineStr">
        <is>
          <t>6002526152</t>
        </is>
      </c>
      <c r="D29" s="15" t="inlineStr">
        <is>
          <t>KHAVDA 442MW</t>
        </is>
      </c>
      <c r="E29" s="15" t="inlineStr">
        <is>
          <t>Service</t>
        </is>
      </c>
      <c r="F29" s="16" t="inlineStr">
        <is>
          <t>Erection of MMS</t>
        </is>
      </c>
      <c r="G29" s="16" t="inlineStr">
        <is>
          <t>TANSUMAN LIGHTNING ENTERPRISES (OPC) PRIVATE LIMITED</t>
        </is>
      </c>
      <c r="H29" s="16" t="inlineStr">
        <is>
          <t>Vishal Rathore (+91 7790909130)</t>
        </is>
      </c>
      <c r="I29" s="17" t="n">
        <v>446072</v>
      </c>
      <c r="J29" s="17" t="n">
        <v>111519</v>
      </c>
      <c r="K29" s="18">
        <f>I29+J29</f>
        <v/>
      </c>
      <c r="L29" s="19">
        <f>IF(K29&gt;0, I29/K29, 0)</f>
        <v/>
      </c>
      <c r="M29" s="20">
        <f>IF(J29=0,"FULLY PAID",IF(I29=0,"PENDING","PARTIAL"))</f>
        <v/>
      </c>
      <c r="N29" s="16" t="inlineStr"/>
    </row>
    <row r="30" ht="20" customHeight="1">
      <c r="A30" s="9" t="n">
        <v>21</v>
      </c>
      <c r="B30" s="9" t="n">
        <v>51</v>
      </c>
      <c r="C30" s="9" t="inlineStr">
        <is>
          <t>-</t>
        </is>
      </c>
      <c r="D30" s="9" t="inlineStr">
        <is>
          <t>KHAVDA 442MW</t>
        </is>
      </c>
      <c r="E30" s="9" t="inlineStr">
        <is>
          <t>Supplier</t>
        </is>
      </c>
      <c r="F30" s="10" t="inlineStr">
        <is>
          <t>Hardware &amp; Machine</t>
        </is>
      </c>
      <c r="G30" s="10" t="inlineStr">
        <is>
          <t>Rajkot Machinery</t>
        </is>
      </c>
      <c r="H30" s="10" t="inlineStr">
        <is>
          <t>Rajkot Machinery</t>
        </is>
      </c>
      <c r="I30" s="11" t="n">
        <v>1100000</v>
      </c>
      <c r="J30" s="11" t="n">
        <v>130023</v>
      </c>
      <c r="K30" s="12">
        <f>I30+J30</f>
        <v/>
      </c>
      <c r="L30" s="13">
        <f>IF(K30&gt;0, I30/K30, 0)</f>
        <v/>
      </c>
      <c r="M30" s="14">
        <f>IF(J30=0,"FULLY PAID",IF(I30=0,"PENDING","PARTIAL"))</f>
        <v/>
      </c>
      <c r="N30" s="10" t="inlineStr">
        <is>
          <t>Supplier Account</t>
        </is>
      </c>
    </row>
    <row r="31" ht="20" customHeight="1">
      <c r="A31" s="15" t="n">
        <v>22</v>
      </c>
      <c r="B31" s="15" t="n">
        <v>57</v>
      </c>
      <c r="C31" s="15" t="inlineStr">
        <is>
          <t>-</t>
        </is>
      </c>
      <c r="D31" s="15" t="inlineStr">
        <is>
          <t>KHAVDA 442MW</t>
        </is>
      </c>
      <c r="E31" s="15" t="inlineStr">
        <is>
          <t>Service</t>
        </is>
      </c>
      <c r="F31" s="16" t="inlineStr">
        <is>
          <t>Hiring Splicing Service</t>
        </is>
      </c>
      <c r="G31" s="16" t="inlineStr">
        <is>
          <t>New Radiant Enterprises</t>
        </is>
      </c>
      <c r="H31" s="16" t="inlineStr">
        <is>
          <t>New Radiant Enterprises</t>
        </is>
      </c>
      <c r="I31" s="17" t="n">
        <v>0</v>
      </c>
      <c r="J31" s="17" t="n">
        <v>61950</v>
      </c>
      <c r="K31" s="18">
        <f>I31+J31</f>
        <v/>
      </c>
      <c r="L31" s="19">
        <f>IF(K31&gt;0, I31/K31, 0)</f>
        <v/>
      </c>
      <c r="M31" s="20">
        <f>IF(J31=0,"FULLY PAID",IF(I31=0,"PENDING","PARTIAL"))</f>
        <v/>
      </c>
      <c r="N31" s="16" t="inlineStr">
        <is>
          <t>Entire Payment Pending</t>
        </is>
      </c>
    </row>
    <row r="32" ht="20" customHeight="1">
      <c r="A32" s="21" t="n">
        <v>23</v>
      </c>
      <c r="B32" s="21" t="n">
        <v>5</v>
      </c>
      <c r="C32" s="21" t="inlineStr">
        <is>
          <t>6002526034</t>
        </is>
      </c>
      <c r="D32" s="21" t="inlineStr">
        <is>
          <t>KHAVDA 442MW</t>
        </is>
      </c>
      <c r="E32" s="21" t="inlineStr">
        <is>
          <t>Service</t>
        </is>
      </c>
      <c r="F32" s="22" t="inlineStr">
        <is>
          <t>IDT Civil</t>
        </is>
      </c>
      <c r="G32" s="22" t="inlineStr">
        <is>
          <t>Dayachand -7</t>
        </is>
      </c>
      <c r="H32" s="22" t="inlineStr">
        <is>
          <t>PAWAN KUMAR 80555 27414</t>
        </is>
      </c>
      <c r="I32" s="23" t="n">
        <v>2740748</v>
      </c>
      <c r="J32" s="23" t="n">
        <v>152263</v>
      </c>
      <c r="K32" s="24">
        <f>I32+J32</f>
        <v/>
      </c>
      <c r="L32" s="25">
        <f>IF(K32&gt;0, I32/K32, 0)</f>
        <v/>
      </c>
      <c r="M32" s="26">
        <f>IF(J32=0,"FULLY PAID",IF(I32=0,"PENDING","PARTIAL"))</f>
        <v/>
      </c>
      <c r="N32" s="22" t="inlineStr">
        <is>
          <t>Highlighted Yellow in Statement</t>
        </is>
      </c>
    </row>
    <row r="33" ht="20" customHeight="1">
      <c r="A33" s="15" t="n">
        <v>24</v>
      </c>
      <c r="B33" s="15" t="n">
        <v>7</v>
      </c>
      <c r="C33" s="15" t="inlineStr">
        <is>
          <t>6002526064</t>
        </is>
      </c>
      <c r="D33" s="15" t="inlineStr">
        <is>
          <t>KHAVDA 442MW</t>
        </is>
      </c>
      <c r="E33" s="15" t="inlineStr">
        <is>
          <t>Service</t>
        </is>
      </c>
      <c r="F33" s="16" t="inlineStr">
        <is>
          <t>IDT Civil</t>
        </is>
      </c>
      <c r="G33" s="16" t="inlineStr">
        <is>
          <t>Baburam-3</t>
        </is>
      </c>
      <c r="H33" s="16" t="inlineStr">
        <is>
          <t>BABU RAM (+91 9001678721)</t>
        </is>
      </c>
      <c r="I33" s="17" t="n">
        <v>1160379</v>
      </c>
      <c r="J33" s="17" t="n">
        <v>128931</v>
      </c>
      <c r="K33" s="18">
        <f>I33+J33</f>
        <v/>
      </c>
      <c r="L33" s="19">
        <f>IF(K33&gt;0, I33/K33, 0)</f>
        <v/>
      </c>
      <c r="M33" s="20">
        <f>IF(J33=0,"FULLY PAID",IF(I33=0,"PENDING","PARTIAL"))</f>
        <v/>
      </c>
      <c r="N33" s="16" t="inlineStr"/>
    </row>
    <row r="34" ht="20" customHeight="1">
      <c r="A34" s="9" t="n">
        <v>25</v>
      </c>
      <c r="B34" s="9" t="n">
        <v>20</v>
      </c>
      <c r="C34" s="9" t="inlineStr">
        <is>
          <t>6002526001</t>
        </is>
      </c>
      <c r="D34" s="9" t="inlineStr">
        <is>
          <t>KHAVDA 442MW</t>
        </is>
      </c>
      <c r="E34" s="9" t="inlineStr">
        <is>
          <t>Service</t>
        </is>
      </c>
      <c r="F34" s="10" t="inlineStr">
        <is>
          <t>AC-DC Work</t>
        </is>
      </c>
      <c r="G34" s="10" t="inlineStr">
        <is>
          <t>J.P. ENTERPRISES</t>
        </is>
      </c>
      <c r="H34" s="10" t="inlineStr">
        <is>
          <t>JAI PRAKASH +91 98282 39611</t>
        </is>
      </c>
      <c r="I34" s="11" t="n">
        <v>3535000</v>
      </c>
      <c r="J34" s="11" t="n">
        <v>200000</v>
      </c>
      <c r="K34" s="12">
        <f>I34+J34</f>
        <v/>
      </c>
      <c r="L34" s="13">
        <f>IF(K34&gt;0, I34/K34, 0)</f>
        <v/>
      </c>
      <c r="M34" s="14">
        <f>IF(J34=0,"FULLY PAID",IF(I34=0,"PENDING","PARTIAL"))</f>
        <v/>
      </c>
      <c r="N34" s="10" t="inlineStr"/>
    </row>
    <row r="35" ht="20" customHeight="1">
      <c r="A35" s="15" t="n">
        <v>26</v>
      </c>
      <c r="B35" s="15" t="n">
        <v>42</v>
      </c>
      <c r="C35" s="15" t="inlineStr">
        <is>
          <t>6002526027</t>
        </is>
      </c>
      <c r="D35" s="15" t="inlineStr">
        <is>
          <t>KHAVDA 442MW</t>
        </is>
      </c>
      <c r="E35" s="15" t="inlineStr">
        <is>
          <t>Service</t>
        </is>
      </c>
      <c r="F35" s="16" t="inlineStr">
        <is>
          <t>HT Jointer</t>
        </is>
      </c>
      <c r="G35" s="16" t="inlineStr">
        <is>
          <t>Sanjay Kumar Yadav</t>
        </is>
      </c>
      <c r="H35" s="16" t="inlineStr">
        <is>
          <t>Sanjay Kumar Yadav</t>
        </is>
      </c>
      <c r="I35" s="17" t="n">
        <v>700000</v>
      </c>
      <c r="J35" s="17" t="n">
        <v>42306</v>
      </c>
      <c r="K35" s="18">
        <f>I35+J35</f>
        <v/>
      </c>
      <c r="L35" s="19">
        <f>IF(K35&gt;0, I35/K35, 0)</f>
        <v/>
      </c>
      <c r="M35" s="20">
        <f>IF(J35=0,"FULLY PAID",IF(I35=0,"PENDING","PARTIAL"))</f>
        <v/>
      </c>
      <c r="N35" s="16" t="inlineStr"/>
    </row>
    <row r="36" ht="20" customHeight="1">
      <c r="A36" s="9" t="n">
        <v>27</v>
      </c>
      <c r="B36" s="9" t="n">
        <v>50</v>
      </c>
      <c r="C36" s="9" t="inlineStr">
        <is>
          <t>6002526086</t>
        </is>
      </c>
      <c r="D36" s="9" t="inlineStr">
        <is>
          <t>KHAVDA 442MW</t>
        </is>
      </c>
      <c r="E36" s="9" t="inlineStr">
        <is>
          <t>Service</t>
        </is>
      </c>
      <c r="F36" s="10" t="inlineStr">
        <is>
          <t>Erection of MMS</t>
        </is>
      </c>
      <c r="G36" s="10" t="inlineStr">
        <is>
          <t>SARTHAK ENTERPRISES</t>
        </is>
      </c>
      <c r="H36" s="10" t="inlineStr">
        <is>
          <t>OM PRAKASH +91 8950588873, 9896098873</t>
        </is>
      </c>
      <c r="I36" s="11" t="n">
        <v>17118</v>
      </c>
      <c r="J36" s="11" t="n">
        <v>4280</v>
      </c>
      <c r="K36" s="12">
        <f>I36+J36</f>
        <v/>
      </c>
      <c r="L36" s="13">
        <f>IF(K36&gt;0, I36/K36, 0)</f>
        <v/>
      </c>
      <c r="M36" s="14">
        <f>IF(J36=0,"FULLY PAID",IF(I36=0,"PENDING","PARTIAL"))</f>
        <v/>
      </c>
      <c r="N36" s="10" t="inlineStr"/>
    </row>
    <row r="37" ht="20" customHeight="1">
      <c r="A37" s="15" t="n">
        <v>28</v>
      </c>
      <c r="B37" s="15" t="n">
        <v>77</v>
      </c>
      <c r="C37" s="15" t="inlineStr">
        <is>
          <t>6002526136</t>
        </is>
      </c>
      <c r="D37" s="15" t="inlineStr">
        <is>
          <t>KHAVDA 442MW</t>
        </is>
      </c>
      <c r="E37" s="15" t="inlineStr">
        <is>
          <t>Service</t>
        </is>
      </c>
      <c r="F37" s="16" t="inlineStr">
        <is>
          <t>AC-DC Work</t>
        </is>
      </c>
      <c r="G37" s="16" t="inlineStr">
        <is>
          <t>FATIMA CONSTRUCTION</t>
        </is>
      </c>
      <c r="H37" s="16" t="inlineStr">
        <is>
          <t>ZAINAB FATMA 7428270013</t>
        </is>
      </c>
      <c r="I37" s="17" t="n">
        <v>2200000</v>
      </c>
      <c r="J37" s="17" t="n">
        <v>450000</v>
      </c>
      <c r="K37" s="18">
        <f>I37+J37</f>
        <v/>
      </c>
      <c r="L37" s="19">
        <f>IF(K37&gt;0, I37/K37, 0)</f>
        <v/>
      </c>
      <c r="M37" s="20">
        <f>IF(J37=0,"FULLY PAID",IF(I37=0,"PENDING","PARTIAL"))</f>
        <v/>
      </c>
      <c r="N37" s="16" t="inlineStr"/>
    </row>
    <row r="38" ht="20" customHeight="1">
      <c r="A38" s="9" t="n">
        <v>29</v>
      </c>
      <c r="B38" s="9" t="n">
        <v>91</v>
      </c>
      <c r="C38" s="9" t="inlineStr">
        <is>
          <t>6002526155</t>
        </is>
      </c>
      <c r="D38" s="9" t="inlineStr">
        <is>
          <t>KHAVDA 442MW</t>
        </is>
      </c>
      <c r="E38" s="9" t="inlineStr">
        <is>
          <t>Service</t>
        </is>
      </c>
      <c r="F38" s="10" t="inlineStr">
        <is>
          <t>String Work</t>
        </is>
      </c>
      <c r="G38" s="10" t="inlineStr">
        <is>
          <t>FATA RAM</t>
        </is>
      </c>
      <c r="H38" s="10" t="inlineStr">
        <is>
          <t>FATA RAM (+91 8401688194)</t>
        </is>
      </c>
      <c r="I38" s="11" t="n">
        <v>380700</v>
      </c>
      <c r="J38" s="11" t="n">
        <v>42300</v>
      </c>
      <c r="K38" s="12">
        <f>I38+J38</f>
        <v/>
      </c>
      <c r="L38" s="13">
        <f>IF(K38&gt;0, I38/K38, 0)</f>
        <v/>
      </c>
      <c r="M38" s="14">
        <f>IF(J38=0,"FULLY PAID",IF(I38=0,"PENDING","PARTIAL"))</f>
        <v/>
      </c>
      <c r="N38" s="10" t="inlineStr"/>
    </row>
    <row r="39" ht="20" customHeight="1">
      <c r="A39" s="21" t="n">
        <v>30</v>
      </c>
      <c r="B39" s="21" t="n">
        <v>95</v>
      </c>
      <c r="C39" s="21" t="inlineStr">
        <is>
          <t>6002526159</t>
        </is>
      </c>
      <c r="D39" s="21" t="inlineStr">
        <is>
          <t>KHAVDA 442MW</t>
        </is>
      </c>
      <c r="E39" s="21" t="inlineStr">
        <is>
          <t>Service</t>
        </is>
      </c>
      <c r="F39" s="22" t="inlineStr">
        <is>
          <t>Erection of Module</t>
        </is>
      </c>
      <c r="G39" s="22" t="inlineStr">
        <is>
          <t>Juhi Gulab</t>
        </is>
      </c>
      <c r="H39" s="22" t="inlineStr">
        <is>
          <t>ALHANOOR (+91 8460311858)</t>
        </is>
      </c>
      <c r="I39" s="23" t="n">
        <v>329386</v>
      </c>
      <c r="J39" s="23" t="n">
        <v>93056</v>
      </c>
      <c r="K39" s="24">
        <f>I39+J39</f>
        <v/>
      </c>
      <c r="L39" s="25">
        <f>IF(K39&gt;0, I39/K39, 0)</f>
        <v/>
      </c>
      <c r="M39" s="26">
        <f>IF(J39=0,"FULLY PAID",IF(I39=0,"PENDING","PARTIAL"))</f>
        <v/>
      </c>
      <c r="N39" s="22" t="inlineStr">
        <is>
          <t>Highlighted Yellow in Statement</t>
        </is>
      </c>
    </row>
    <row r="40" ht="20" customHeight="1">
      <c r="A40" s="9" t="n">
        <v>31</v>
      </c>
      <c r="B40" s="9" t="n">
        <v>135</v>
      </c>
      <c r="C40" s="9" t="inlineStr">
        <is>
          <t>-</t>
        </is>
      </c>
      <c r="D40" s="9" t="inlineStr">
        <is>
          <t>KHAVDA 442MW</t>
        </is>
      </c>
      <c r="E40" s="9" t="inlineStr">
        <is>
          <t>Service</t>
        </is>
      </c>
      <c r="F40" s="10" t="inlineStr">
        <is>
          <t>AC-DC Work</t>
        </is>
      </c>
      <c r="G40" s="10" t="inlineStr">
        <is>
          <t>Nagnararai Construction Company-2</t>
        </is>
      </c>
      <c r="H40" s="10" t="inlineStr">
        <is>
          <t>Lun Singh ( 9680881351)</t>
        </is>
      </c>
      <c r="I40" s="11" t="n">
        <v>3220000</v>
      </c>
      <c r="J40" s="11" t="n">
        <v>700000</v>
      </c>
      <c r="K40" s="12">
        <f>I40+J40</f>
        <v/>
      </c>
      <c r="L40" s="13">
        <f>IF(K40&gt;0, I40/K40, 0)</f>
        <v/>
      </c>
      <c r="M40" s="14">
        <f>IF(J40=0,"FULLY PAID",IF(I40=0,"PENDING","PARTIAL"))</f>
        <v/>
      </c>
      <c r="N40" s="10" t="inlineStr"/>
    </row>
    <row r="41" ht="20" customHeight="1">
      <c r="A41" s="15" t="n">
        <v>32</v>
      </c>
      <c r="B41" s="15" t="n">
        <v>140</v>
      </c>
      <c r="C41" s="15" t="inlineStr">
        <is>
          <t>-</t>
        </is>
      </c>
      <c r="D41" s="15" t="inlineStr">
        <is>
          <t>KHAVDA 442MW</t>
        </is>
      </c>
      <c r="E41" s="15" t="inlineStr">
        <is>
          <t>Service</t>
        </is>
      </c>
      <c r="F41" s="16" t="inlineStr">
        <is>
          <t>HT Cable laying</t>
        </is>
      </c>
      <c r="G41" s="16" t="inlineStr">
        <is>
          <t>Ashok Kumar Bairwa</t>
        </is>
      </c>
      <c r="H41" s="16" t="inlineStr">
        <is>
          <t>Ashok Kumar Bairwa(9740523254)</t>
        </is>
      </c>
      <c r="I41" s="17" t="n">
        <v>350248</v>
      </c>
      <c r="J41" s="17" t="n">
        <v>25000</v>
      </c>
      <c r="K41" s="18">
        <f>I41+J41</f>
        <v/>
      </c>
      <c r="L41" s="19">
        <f>IF(K41&gt;0, I41/K41, 0)</f>
        <v/>
      </c>
      <c r="M41" s="20">
        <f>IF(J41=0,"FULLY PAID",IF(I41=0,"PENDING","PARTIAL"))</f>
        <v/>
      </c>
      <c r="N41" s="16" t="inlineStr"/>
    </row>
    <row r="42" ht="20" customHeight="1">
      <c r="A42" s="9" t="n">
        <v>33</v>
      </c>
      <c r="B42" s="9" t="n">
        <v>143</v>
      </c>
      <c r="C42" s="9" t="inlineStr">
        <is>
          <t>-</t>
        </is>
      </c>
      <c r="D42" s="9" t="inlineStr">
        <is>
          <t>KHAVDA 442MW</t>
        </is>
      </c>
      <c r="E42" s="9" t="inlineStr">
        <is>
          <t>Service</t>
        </is>
      </c>
      <c r="F42" s="10" t="inlineStr">
        <is>
          <t>Supply Labour</t>
        </is>
      </c>
      <c r="G42" s="10" t="inlineStr">
        <is>
          <t>Girdhari Ram Labour</t>
        </is>
      </c>
      <c r="H42" s="10" t="inlineStr">
        <is>
          <t>Girdhari Ram Labour</t>
        </is>
      </c>
      <c r="I42" s="11" t="n">
        <v>821512</v>
      </c>
      <c r="J42" s="11" t="n">
        <v>300000</v>
      </c>
      <c r="K42" s="12">
        <f>I42+J42</f>
        <v/>
      </c>
      <c r="L42" s="13">
        <f>IF(K42&gt;0, I42/K42, 0)</f>
        <v/>
      </c>
      <c r="M42" s="14">
        <f>IF(J42=0,"FULLY PAID",IF(I42=0,"PENDING","PARTIAL"))</f>
        <v/>
      </c>
      <c r="N42" s="10" t="inlineStr"/>
    </row>
    <row r="43" ht="20" customHeight="1">
      <c r="A43" s="15" t="n">
        <v>34</v>
      </c>
      <c r="B43" s="15" t="n">
        <v>147</v>
      </c>
      <c r="C43" s="15" t="inlineStr">
        <is>
          <t>-</t>
        </is>
      </c>
      <c r="D43" s="15" t="inlineStr">
        <is>
          <t>KHAVDA 442MW</t>
        </is>
      </c>
      <c r="E43" s="15" t="inlineStr">
        <is>
          <t>Service</t>
        </is>
      </c>
      <c r="F43" s="16" t="inlineStr">
        <is>
          <t>DC Works</t>
        </is>
      </c>
      <c r="G43" s="16" t="inlineStr">
        <is>
          <t>Sumer Singh</t>
        </is>
      </c>
      <c r="H43" s="16" t="inlineStr">
        <is>
          <t>Devi Singh/ Sumer Singh</t>
        </is>
      </c>
      <c r="I43" s="17" t="n">
        <v>1961000</v>
      </c>
      <c r="J43" s="17" t="n">
        <v>700000</v>
      </c>
      <c r="K43" s="18">
        <f>I43+J43</f>
        <v/>
      </c>
      <c r="L43" s="19">
        <f>IF(K43&gt;0, I43/K43, 0)</f>
        <v/>
      </c>
      <c r="M43" s="20">
        <f>IF(J43=0,"FULLY PAID",IF(I43=0,"PENDING","PARTIAL"))</f>
        <v/>
      </c>
      <c r="N43" s="16" t="inlineStr"/>
    </row>
    <row r="44" ht="20" customHeight="1">
      <c r="A44" s="9" t="n">
        <v>35</v>
      </c>
      <c r="B44" s="9" t="n">
        <v>154</v>
      </c>
      <c r="C44" s="9" t="inlineStr">
        <is>
          <t>-</t>
        </is>
      </c>
      <c r="D44" s="9" t="inlineStr">
        <is>
          <t>KHAVDA 442MW</t>
        </is>
      </c>
      <c r="E44" s="9" t="inlineStr">
        <is>
          <t>Service</t>
        </is>
      </c>
      <c r="F44" s="10" t="inlineStr">
        <is>
          <t>AC-DC Work</t>
        </is>
      </c>
      <c r="G44" s="10" t="inlineStr">
        <is>
          <t>Jeeshan Ahemad</t>
        </is>
      </c>
      <c r="H44" s="10" t="inlineStr">
        <is>
          <t>Jeeshan Ahemad</t>
        </is>
      </c>
      <c r="I44" s="11" t="n">
        <v>1625000</v>
      </c>
      <c r="J44" s="11" t="n">
        <v>100000</v>
      </c>
      <c r="K44" s="12">
        <f>I44+J44</f>
        <v/>
      </c>
      <c r="L44" s="13">
        <f>IF(K44&gt;0, I44/K44, 0)</f>
        <v/>
      </c>
      <c r="M44" s="14">
        <f>IF(J44=0,"FULLY PAID",IF(I44=0,"PENDING","PARTIAL"))</f>
        <v/>
      </c>
      <c r="N44" s="10" t="inlineStr"/>
    </row>
    <row r="45" ht="20" customHeight="1">
      <c r="A45" s="15" t="n">
        <v>36</v>
      </c>
      <c r="B45" s="15" t="n">
        <v>157</v>
      </c>
      <c r="C45" s="15" t="inlineStr">
        <is>
          <t>-</t>
        </is>
      </c>
      <c r="D45" s="15" t="inlineStr">
        <is>
          <t>KHAVDA 442MW</t>
        </is>
      </c>
      <c r="E45" s="15" t="inlineStr">
        <is>
          <t>Service</t>
        </is>
      </c>
      <c r="F45" s="16" t="inlineStr">
        <is>
          <t>Hiring of Vechile</t>
        </is>
      </c>
      <c r="G45" s="16" t="inlineStr">
        <is>
          <t>SHARDA MAHALA</t>
        </is>
      </c>
      <c r="H45" s="16" t="inlineStr">
        <is>
          <t>RJ37-GB-0907</t>
        </is>
      </c>
      <c r="I45" s="17" t="n">
        <v>73548</v>
      </c>
      <c r="J45" s="17" t="n">
        <v>52903</v>
      </c>
      <c r="K45" s="18">
        <f>I45+J45</f>
        <v/>
      </c>
      <c r="L45" s="19">
        <f>IF(K45&gt;0, I45/K45, 0)</f>
        <v/>
      </c>
      <c r="M45" s="20">
        <f>IF(J45=0,"FULLY PAID",IF(I45=0,"PENDING","PARTIAL"))</f>
        <v/>
      </c>
      <c r="N45" s="16" t="inlineStr"/>
    </row>
    <row r="46" ht="20" customHeight="1">
      <c r="A46" s="9" t="n">
        <v>37</v>
      </c>
      <c r="B46" s="9" t="n">
        <v>158</v>
      </c>
      <c r="C46" s="9" t="inlineStr">
        <is>
          <t>-</t>
        </is>
      </c>
      <c r="D46" s="9" t="inlineStr">
        <is>
          <t>KHAVDA 442MW</t>
        </is>
      </c>
      <c r="E46" s="9" t="inlineStr">
        <is>
          <t>Service</t>
        </is>
      </c>
      <c r="F46" s="10" t="inlineStr">
        <is>
          <t>AC Work</t>
        </is>
      </c>
      <c r="G46" s="10" t="inlineStr">
        <is>
          <t>Abhishek Pandey</t>
        </is>
      </c>
      <c r="H46" s="10" t="inlineStr">
        <is>
          <t>Abhishek Pandey</t>
        </is>
      </c>
      <c r="I46" s="11" t="n">
        <v>1495000</v>
      </c>
      <c r="J46" s="11" t="n">
        <v>200000</v>
      </c>
      <c r="K46" s="12">
        <f>I46+J46</f>
        <v/>
      </c>
      <c r="L46" s="13">
        <f>IF(K46&gt;0, I46/K46, 0)</f>
        <v/>
      </c>
      <c r="M46" s="14">
        <f>IF(J46=0,"FULLY PAID",IF(I46=0,"PENDING","PARTIAL"))</f>
        <v/>
      </c>
      <c r="N46" s="10" t="inlineStr"/>
    </row>
    <row r="47" ht="20" customHeight="1">
      <c r="A47" s="15" t="n">
        <v>38</v>
      </c>
      <c r="B47" s="15" t="n">
        <v>159</v>
      </c>
      <c r="C47" s="15" t="inlineStr">
        <is>
          <t>-</t>
        </is>
      </c>
      <c r="D47" s="15" t="inlineStr">
        <is>
          <t>KHAVDA 442MW</t>
        </is>
      </c>
      <c r="E47" s="15" t="inlineStr">
        <is>
          <t>Service</t>
        </is>
      </c>
      <c r="F47" s="16" t="inlineStr">
        <is>
          <t>AC-DC Work</t>
        </is>
      </c>
      <c r="G47" s="16" t="inlineStr">
        <is>
          <t>ISHAN</t>
        </is>
      </c>
      <c r="H47" s="16" t="inlineStr">
        <is>
          <t>Sajjirul</t>
        </is>
      </c>
      <c r="I47" s="17" t="n">
        <v>2100000</v>
      </c>
      <c r="J47" s="17" t="n">
        <v>260000</v>
      </c>
      <c r="K47" s="18">
        <f>I47+J47</f>
        <v/>
      </c>
      <c r="L47" s="19">
        <f>IF(K47&gt;0, I47/K47, 0)</f>
        <v/>
      </c>
      <c r="M47" s="20">
        <f>IF(J47=0,"FULLY PAID",IF(I47=0,"PENDING","PARTIAL"))</f>
        <v/>
      </c>
      <c r="N47" s="16" t="inlineStr"/>
    </row>
    <row r="48" ht="20" customHeight="1">
      <c r="A48" s="9" t="n">
        <v>39</v>
      </c>
      <c r="B48" s="9" t="n">
        <v>173</v>
      </c>
      <c r="C48" s="9" t="inlineStr">
        <is>
          <t>-</t>
        </is>
      </c>
      <c r="D48" s="9" t="inlineStr">
        <is>
          <t>KHAVDA 442MW</t>
        </is>
      </c>
      <c r="E48" s="9" t="inlineStr">
        <is>
          <t>Service</t>
        </is>
      </c>
      <c r="F48" s="10" t="inlineStr">
        <is>
          <t>WATER SUPPLIERS</t>
        </is>
      </c>
      <c r="G48" s="10" t="inlineStr">
        <is>
          <t>Abdul Kayum Ibrahim Sama</t>
        </is>
      </c>
      <c r="H48" s="10" t="inlineStr">
        <is>
          <t>Abdul Kayum Ibrahim Sama</t>
        </is>
      </c>
      <c r="I48" s="11" t="n">
        <v>300000</v>
      </c>
      <c r="J48" s="11" t="n">
        <v>170000</v>
      </c>
      <c r="K48" s="12">
        <f>I48+J48</f>
        <v/>
      </c>
      <c r="L48" s="13">
        <f>IF(K48&gt;0, I48/K48, 0)</f>
        <v/>
      </c>
      <c r="M48" s="14">
        <f>IF(J48=0,"FULLY PAID",IF(I48=0,"PENDING","PARTIAL"))</f>
        <v/>
      </c>
      <c r="N48" s="10" t="inlineStr"/>
    </row>
    <row r="49" ht="20" customHeight="1">
      <c r="A49" s="15" t="n">
        <v>40</v>
      </c>
      <c r="B49" s="15" t="n">
        <v>177</v>
      </c>
      <c r="C49" s="15" t="inlineStr">
        <is>
          <t>-</t>
        </is>
      </c>
      <c r="D49" s="15" t="inlineStr">
        <is>
          <t>KHAVDA 442MW</t>
        </is>
      </c>
      <c r="E49" s="15" t="inlineStr">
        <is>
          <t>Service</t>
        </is>
      </c>
      <c r="F49" s="16" t="inlineStr">
        <is>
          <t>Erection of MMS</t>
        </is>
      </c>
      <c r="G49" s="16" t="inlineStr">
        <is>
          <t>JAHANGIR ALI</t>
        </is>
      </c>
      <c r="H49" s="16" t="inlineStr">
        <is>
          <t>JAHANGIR ALI</t>
        </is>
      </c>
      <c r="I49" s="17" t="n">
        <v>179000</v>
      </c>
      <c r="J49" s="17" t="n">
        <v>45861</v>
      </c>
      <c r="K49" s="18">
        <f>I49+J49</f>
        <v/>
      </c>
      <c r="L49" s="19">
        <f>IF(K49&gt;0, I49/K49, 0)</f>
        <v/>
      </c>
      <c r="M49" s="20">
        <f>IF(J49=0,"FULLY PAID",IF(I49=0,"PENDING","PARTIAL"))</f>
        <v/>
      </c>
      <c r="N49" s="16" t="inlineStr"/>
    </row>
    <row r="50" ht="20" customHeight="1">
      <c r="A50" s="9" t="n">
        <v>41</v>
      </c>
      <c r="B50" s="9" t="n">
        <v>182</v>
      </c>
      <c r="C50" s="9" t="inlineStr">
        <is>
          <t>-</t>
        </is>
      </c>
      <c r="D50" s="9" t="inlineStr">
        <is>
          <t>KHAVDA 442MW</t>
        </is>
      </c>
      <c r="E50" s="9" t="inlineStr">
        <is>
          <t>Service</t>
        </is>
      </c>
      <c r="F50" s="10" t="inlineStr">
        <is>
          <t>Oger Machine</t>
        </is>
      </c>
      <c r="G50" s="10" t="inlineStr">
        <is>
          <t>Padam Singh</t>
        </is>
      </c>
      <c r="H50" s="10" t="inlineStr">
        <is>
          <t>Padam SIngh</t>
        </is>
      </c>
      <c r="I50" s="11" t="n">
        <v>0</v>
      </c>
      <c r="J50" s="11" t="n">
        <v>39800</v>
      </c>
      <c r="K50" s="12">
        <f>I50+J50</f>
        <v/>
      </c>
      <c r="L50" s="13">
        <f>IF(K50&gt;0, I50/K50, 0)</f>
        <v/>
      </c>
      <c r="M50" s="14">
        <f>IF(J50=0,"FULLY PAID",IF(I50=0,"PENDING","PARTIAL"))</f>
        <v/>
      </c>
      <c r="N50" s="10" t="inlineStr">
        <is>
          <t>Entire Payment Pending</t>
        </is>
      </c>
    </row>
    <row r="51" ht="20" customHeight="1">
      <c r="A51" s="15" t="n">
        <v>42</v>
      </c>
      <c r="B51" s="15" t="n">
        <v>185</v>
      </c>
      <c r="C51" s="15" t="inlineStr">
        <is>
          <t>-</t>
        </is>
      </c>
      <c r="D51" s="15" t="inlineStr">
        <is>
          <t>KHAVDA 442MW</t>
        </is>
      </c>
      <c r="E51" s="15" t="inlineStr">
        <is>
          <t>Service</t>
        </is>
      </c>
      <c r="F51" s="16" t="inlineStr">
        <is>
          <t>Hiring of Vechile</t>
        </is>
      </c>
      <c r="G51" s="16" t="inlineStr">
        <is>
          <t>Mohan Lal</t>
        </is>
      </c>
      <c r="H51" s="16" t="inlineStr">
        <is>
          <t>Mohan Lal</t>
        </is>
      </c>
      <c r="I51" s="17" t="n">
        <v>0</v>
      </c>
      <c r="J51" s="17" t="n">
        <v>40000</v>
      </c>
      <c r="K51" s="18">
        <f>I51+J51</f>
        <v/>
      </c>
      <c r="L51" s="19">
        <f>IF(K51&gt;0, I51/K51, 0)</f>
        <v/>
      </c>
      <c r="M51" s="20">
        <f>IF(J51=0,"FULLY PAID",IF(I51=0,"PENDING","PARTIAL"))</f>
        <v/>
      </c>
      <c r="N51" s="16" t="inlineStr">
        <is>
          <t>Entire Payment Pending</t>
        </is>
      </c>
    </row>
    <row r="52" ht="20" customHeight="1">
      <c r="A52" s="9" t="n">
        <v>43</v>
      </c>
      <c r="B52" s="9" t="n">
        <v>186</v>
      </c>
      <c r="C52" s="9" t="inlineStr">
        <is>
          <t>6002627006</t>
        </is>
      </c>
      <c r="D52" s="9" t="inlineStr">
        <is>
          <t>KHAVDA 442MW</t>
        </is>
      </c>
      <c r="E52" s="9" t="inlineStr">
        <is>
          <t>Service</t>
        </is>
      </c>
      <c r="F52" s="10" t="inlineStr">
        <is>
          <t>Hiring of Vechile</t>
        </is>
      </c>
      <c r="G52" s="10" t="inlineStr">
        <is>
          <t>TAJMAMAD LATIF SAMA</t>
        </is>
      </c>
      <c r="H52" s="10" t="inlineStr">
        <is>
          <t>TAJMAMAD LATIF SAMA</t>
        </is>
      </c>
      <c r="I52" s="11" t="n">
        <v>0</v>
      </c>
      <c r="J52" s="11" t="n">
        <v>40000</v>
      </c>
      <c r="K52" s="12">
        <f>I52+J52</f>
        <v/>
      </c>
      <c r="L52" s="13">
        <f>IF(K52&gt;0, I52/K52, 0)</f>
        <v/>
      </c>
      <c r="M52" s="14">
        <f>IF(J52=0,"FULLY PAID",IF(I52=0,"PENDING","PARTIAL"))</f>
        <v/>
      </c>
      <c r="N52" s="10" t="inlineStr">
        <is>
          <t>Entire Payment Pending</t>
        </is>
      </c>
    </row>
    <row r="53" ht="20" customHeight="1">
      <c r="A53" s="15" t="n">
        <v>44</v>
      </c>
      <c r="B53" s="15" t="n">
        <v>187</v>
      </c>
      <c r="C53" s="15" t="inlineStr">
        <is>
          <t>-</t>
        </is>
      </c>
      <c r="D53" s="15" t="inlineStr">
        <is>
          <t>KHAVDA 442MW</t>
        </is>
      </c>
      <c r="E53" s="15" t="inlineStr">
        <is>
          <t>Service</t>
        </is>
      </c>
      <c r="F53" s="16" t="inlineStr">
        <is>
          <t>Cabin / Material</t>
        </is>
      </c>
      <c r="G53" s="16" t="inlineStr">
        <is>
          <t>Gujrat Pota Cabin</t>
        </is>
      </c>
      <c r="H53" s="16" t="inlineStr">
        <is>
          <t>Gujrat Pota Cabin</t>
        </is>
      </c>
      <c r="I53" s="17" t="n">
        <v>0</v>
      </c>
      <c r="J53" s="17" t="n">
        <v>700000</v>
      </c>
      <c r="K53" s="18">
        <f>I53+J53</f>
        <v/>
      </c>
      <c r="L53" s="19">
        <f>IF(K53&gt;0, I53/K53, 0)</f>
        <v/>
      </c>
      <c r="M53" s="20">
        <f>IF(J53=0,"FULLY PAID",IF(I53=0,"PENDING","PARTIAL"))</f>
        <v/>
      </c>
      <c r="N53" s="16" t="inlineStr">
        <is>
          <t>Entire Payment Pending</t>
        </is>
      </c>
    </row>
    <row r="54" ht="26" customHeight="1">
      <c r="A54" s="27" t="inlineStr">
        <is>
          <t>GRAND TOTAL (KHAVDA 442MW STATEMENT)</t>
        </is>
      </c>
      <c r="B54" s="28" t="n"/>
      <c r="C54" s="28" t="n"/>
      <c r="D54" s="28" t="n"/>
      <c r="E54" s="28" t="n"/>
      <c r="F54" s="28" t="n"/>
      <c r="G54" s="28" t="n"/>
      <c r="H54" s="28" t="n"/>
      <c r="I54" s="29">
        <f>SUM(I10:I53)</f>
        <v/>
      </c>
      <c r="J54" s="29">
        <f>SUM(J10:J53)</f>
        <v/>
      </c>
      <c r="K54" s="29">
        <f>SUM(K10:K53)</f>
        <v/>
      </c>
      <c r="L54" s="30">
        <f>I54/K54</f>
        <v/>
      </c>
      <c r="M54" s="31" t="inlineStr">
        <is>
          <t>RECONCILED</t>
        </is>
      </c>
      <c r="N54" s="32" t="inlineStr">
        <is>
          <t>All 44 Records Verified</t>
        </is>
      </c>
    </row>
  </sheetData>
  <mergeCells count="13">
    <mergeCell ref="A1:N2"/>
    <mergeCell ref="B6:C6"/>
    <mergeCell ref="A3:N3"/>
    <mergeCell ref="E6:F6"/>
    <mergeCell ref="H6:I6"/>
    <mergeCell ref="M6:N6"/>
    <mergeCell ref="B5:C5"/>
    <mergeCell ref="A54:H54"/>
    <mergeCell ref="E5:F5"/>
    <mergeCell ref="K5:L5"/>
    <mergeCell ref="H5:I5"/>
    <mergeCell ref="M5:N5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22" customWidth="1" min="4" max="4"/>
    <col width="24" customWidth="1" min="5" max="5"/>
    <col width="14" customWidth="1" min="6" max="6"/>
  </cols>
  <sheetData>
    <row r="1" ht="22" customHeight="1">
      <c r="A1" s="1" t="inlineStr">
        <is>
          <t>KHAVDA 442MW — SCOPE OF WORK SUMMARY &amp; PAYMENT BREAKDOWN</t>
        </is>
      </c>
    </row>
    <row r="2" ht="22" customHeight="1"/>
    <row r="4" ht="26" customHeight="1">
      <c r="A4" s="8" t="inlineStr">
        <is>
          <t>Scope / Description</t>
        </is>
      </c>
      <c r="B4" s="8" t="inlineStr">
        <is>
          <t>Vendor Count</t>
        </is>
      </c>
      <c r="C4" s="8" t="inlineStr">
        <is>
          <t>Total Paid As On (₹)</t>
        </is>
      </c>
      <c r="D4" s="8" t="inlineStr">
        <is>
          <t>Total Payable (₹)</t>
        </is>
      </c>
      <c r="E4" s="8" t="inlineStr">
        <is>
          <t>Total Contract Value (₹)</t>
        </is>
      </c>
      <c r="F4" s="8" t="inlineStr">
        <is>
          <t>Paid %</t>
        </is>
      </c>
    </row>
    <row r="5" ht="20" customHeight="1">
      <c r="A5" s="33" t="inlineStr">
        <is>
          <t>Erection of MMS</t>
        </is>
      </c>
      <c r="B5" s="9">
        <f>COUNTIF('PO &amp; Payment Tracker'!F10:F53, "Erection of MMS")</f>
        <v/>
      </c>
      <c r="C5" s="11">
        <f>SUMIF('PO &amp; Payment Tracker'!F10:F53, "Erection of MMS", 'PO &amp; Payment Tracker'!I10:I53)</f>
        <v/>
      </c>
      <c r="D5" s="11">
        <f>SUMIF('PO &amp; Payment Tracker'!F10:F53, "Erection of MMS", 'PO &amp; Payment Tracker'!J10:J53)</f>
        <v/>
      </c>
      <c r="E5" s="12">
        <f>C5+D5</f>
        <v/>
      </c>
      <c r="F5" s="13">
        <f>IF(E5&gt;0, C5/E5, 0)</f>
        <v/>
      </c>
    </row>
    <row r="6" ht="20" customHeight="1">
      <c r="A6" s="33" t="inlineStr">
        <is>
          <t>AC-DC Work</t>
        </is>
      </c>
      <c r="B6" s="9">
        <f>COUNTIF('PO &amp; Payment Tracker'!F10:F53, "AC-DC Work")</f>
        <v/>
      </c>
      <c r="C6" s="11">
        <f>SUMIF('PO &amp; Payment Tracker'!F10:F53, "AC-DC Work", 'PO &amp; Payment Tracker'!I10:I53)</f>
        <v/>
      </c>
      <c r="D6" s="11">
        <f>SUMIF('PO &amp; Payment Tracker'!F10:F53, "AC-DC Work", 'PO &amp; Payment Tracker'!J10:J53)</f>
        <v/>
      </c>
      <c r="E6" s="12">
        <f>C6+D6</f>
        <v/>
      </c>
      <c r="F6" s="13">
        <f>IF(E6&gt;0, C6/E6, 0)</f>
        <v/>
      </c>
    </row>
    <row r="7" ht="20" customHeight="1">
      <c r="A7" s="33" t="inlineStr">
        <is>
          <t>IDT Civil</t>
        </is>
      </c>
      <c r="B7" s="9">
        <f>COUNTIF('PO &amp; Payment Tracker'!F10:F53, "IDT Civil")</f>
        <v/>
      </c>
      <c r="C7" s="11">
        <f>SUMIF('PO &amp; Payment Tracker'!F10:F53, "IDT Civil", 'PO &amp; Payment Tracker'!I10:I53)</f>
        <v/>
      </c>
      <c r="D7" s="11">
        <f>SUMIF('PO &amp; Payment Tracker'!F10:F53, "IDT Civil", 'PO &amp; Payment Tracker'!J10:J53)</f>
        <v/>
      </c>
      <c r="E7" s="12">
        <f>C7+D7</f>
        <v/>
      </c>
      <c r="F7" s="13">
        <f>IF(E7&gt;0, C7/E7, 0)</f>
        <v/>
      </c>
    </row>
    <row r="8" ht="20" customHeight="1">
      <c r="A8" s="33" t="inlineStr">
        <is>
          <t>Hiring of Vechile</t>
        </is>
      </c>
      <c r="B8" s="9">
        <f>COUNTIF('PO &amp; Payment Tracker'!F10:F53, "Hiring of Vechile")</f>
        <v/>
      </c>
      <c r="C8" s="11">
        <f>SUMIF('PO &amp; Payment Tracker'!F10:F53, "Hiring of Vechile", 'PO &amp; Payment Tracker'!I10:I53)</f>
        <v/>
      </c>
      <c r="D8" s="11">
        <f>SUMIF('PO &amp; Payment Tracker'!F10:F53, "Hiring of Vechile", 'PO &amp; Payment Tracker'!J10:J53)</f>
        <v/>
      </c>
      <c r="E8" s="12">
        <f>C8+D8</f>
        <v/>
      </c>
      <c r="F8" s="13">
        <f>IF(E8&gt;0, C8/E8, 0)</f>
        <v/>
      </c>
    </row>
    <row r="9" ht="20" customHeight="1">
      <c r="A9" s="33" t="inlineStr">
        <is>
          <t>HT Cable laying</t>
        </is>
      </c>
      <c r="B9" s="9">
        <f>COUNTIF('PO &amp; Payment Tracker'!F10:F53, "HT Cable laying")</f>
        <v/>
      </c>
      <c r="C9" s="11">
        <f>SUMIF('PO &amp; Payment Tracker'!F10:F53, "HT Cable laying", 'PO &amp; Payment Tracker'!I10:I53)</f>
        <v/>
      </c>
      <c r="D9" s="11">
        <f>SUMIF('PO &amp; Payment Tracker'!F10:F53, "HT Cable laying", 'PO &amp; Payment Tracker'!J10:J53)</f>
        <v/>
      </c>
      <c r="E9" s="12">
        <f>C9+D9</f>
        <v/>
      </c>
      <c r="F9" s="13">
        <f>IF(E9&gt;0, C9/E9, 0)</f>
        <v/>
      </c>
    </row>
    <row r="10" ht="20" customHeight="1">
      <c r="A10" s="33" t="inlineStr">
        <is>
          <t>Piling Work</t>
        </is>
      </c>
      <c r="B10" s="9">
        <f>COUNTIF('PO &amp; Payment Tracker'!F10:F53, "Piling Work")</f>
        <v/>
      </c>
      <c r="C10" s="11">
        <f>SUMIF('PO &amp; Payment Tracker'!F10:F53, "Piling Work", 'PO &amp; Payment Tracker'!I10:I53)</f>
        <v/>
      </c>
      <c r="D10" s="11">
        <f>SUMIF('PO &amp; Payment Tracker'!F10:F53, "Piling Work", 'PO &amp; Payment Tracker'!J10:J53)</f>
        <v/>
      </c>
      <c r="E10" s="12">
        <f>C10+D10</f>
        <v/>
      </c>
      <c r="F10" s="13">
        <f>IF(E10&gt;0, C10/E10, 0)</f>
        <v/>
      </c>
    </row>
    <row r="11" ht="20" customHeight="1">
      <c r="A11" s="33" t="inlineStr">
        <is>
          <t>Supply Of White Sand</t>
        </is>
      </c>
      <c r="B11" s="9">
        <f>COUNTIF('PO &amp; Payment Tracker'!F10:F53, "Supply Of White Sand")</f>
        <v/>
      </c>
      <c r="C11" s="11">
        <f>SUMIF('PO &amp; Payment Tracker'!F10:F53, "Supply Of White Sand", 'PO &amp; Payment Tracker'!I10:I53)</f>
        <v/>
      </c>
      <c r="D11" s="11">
        <f>SUMIF('PO &amp; Payment Tracker'!F10:F53, "Supply Of White Sand", 'PO &amp; Payment Tracker'!J10:J53)</f>
        <v/>
      </c>
      <c r="E11" s="12">
        <f>C11+D11</f>
        <v/>
      </c>
      <c r="F11" s="13">
        <f>IF(E11&gt;0, C11/E11, 0)</f>
        <v/>
      </c>
    </row>
    <row r="12" ht="20" customHeight="1">
      <c r="A12" s="33" t="inlineStr">
        <is>
          <t>DG</t>
        </is>
      </c>
      <c r="B12" s="9">
        <f>COUNTIF('PO &amp; Payment Tracker'!F10:F53, "DG")</f>
        <v/>
      </c>
      <c r="C12" s="11">
        <f>SUMIF('PO &amp; Payment Tracker'!F10:F53, "DG", 'PO &amp; Payment Tracker'!I10:I53)</f>
        <v/>
      </c>
      <c r="D12" s="11">
        <f>SUMIF('PO &amp; Payment Tracker'!F10:F53, "DG", 'PO &amp; Payment Tracker'!J10:J53)</f>
        <v/>
      </c>
      <c r="E12" s="12">
        <f>C12+D12</f>
        <v/>
      </c>
      <c r="F12" s="13">
        <f>IF(E12&gt;0, C12/E12, 0)</f>
        <v/>
      </c>
    </row>
    <row r="13" ht="20" customHeight="1">
      <c r="A13" s="33" t="inlineStr">
        <is>
          <t>VLF Testing</t>
        </is>
      </c>
      <c r="B13" s="9">
        <f>COUNTIF('PO &amp; Payment Tracker'!F10:F53, "VLF Testing")</f>
        <v/>
      </c>
      <c r="C13" s="11">
        <f>SUMIF('PO &amp; Payment Tracker'!F10:F53, "VLF Testing", 'PO &amp; Payment Tracker'!I10:I53)</f>
        <v/>
      </c>
      <c r="D13" s="11">
        <f>SUMIF('PO &amp; Payment Tracker'!F10:F53, "VLF Testing", 'PO &amp; Payment Tracker'!J10:J53)</f>
        <v/>
      </c>
      <c r="E13" s="12">
        <f>C13+D13</f>
        <v/>
      </c>
      <c r="F13" s="13">
        <f>IF(E13&gt;0, C13/E13, 0)</f>
        <v/>
      </c>
    </row>
    <row r="14" ht="20" customHeight="1">
      <c r="A14" s="33" t="inlineStr">
        <is>
          <t>LT &amp; Earthing Trench Work</t>
        </is>
      </c>
      <c r="B14" s="9">
        <f>COUNTIF('PO &amp; Payment Tracker'!F10:F53, "LT &amp; Earthing Trench Work")</f>
        <v/>
      </c>
      <c r="C14" s="11">
        <f>SUMIF('PO &amp; Payment Tracker'!F10:F53, "LT &amp; Earthing Trench Work", 'PO &amp; Payment Tracker'!I10:I53)</f>
        <v/>
      </c>
      <c r="D14" s="11">
        <f>SUMIF('PO &amp; Payment Tracker'!F10:F53, "LT &amp; Earthing Trench Work", 'PO &amp; Payment Tracker'!J10:J53)</f>
        <v/>
      </c>
      <c r="E14" s="12">
        <f>C14+D14</f>
        <v/>
      </c>
      <c r="F14" s="13">
        <f>IF(E14&gt;0, C14/E14, 0)</f>
        <v/>
      </c>
    </row>
    <row r="15" ht="20" customHeight="1">
      <c r="A15" s="33" t="inlineStr">
        <is>
          <t>Hardware &amp; Machine</t>
        </is>
      </c>
      <c r="B15" s="9">
        <f>COUNTIF('PO &amp; Payment Tracker'!F10:F53, "Hardware &amp; Machine")</f>
        <v/>
      </c>
      <c r="C15" s="11">
        <f>SUMIF('PO &amp; Payment Tracker'!F10:F53, "Hardware &amp; Machine", 'PO &amp; Payment Tracker'!I10:I53)</f>
        <v/>
      </c>
      <c r="D15" s="11">
        <f>SUMIF('PO &amp; Payment Tracker'!F10:F53, "Hardware &amp; Machine", 'PO &amp; Payment Tracker'!J10:J53)</f>
        <v/>
      </c>
      <c r="E15" s="12">
        <f>C15+D15</f>
        <v/>
      </c>
      <c r="F15" s="13">
        <f>IF(E15&gt;0, C15/E15, 0)</f>
        <v/>
      </c>
    </row>
    <row r="16" ht="20" customHeight="1">
      <c r="A16" s="33" t="inlineStr">
        <is>
          <t>Hiring Splicing Service</t>
        </is>
      </c>
      <c r="B16" s="9">
        <f>COUNTIF('PO &amp; Payment Tracker'!F10:F53, "Hiring Splicing Service")</f>
        <v/>
      </c>
      <c r="C16" s="11">
        <f>SUMIF('PO &amp; Payment Tracker'!F10:F53, "Hiring Splicing Service", 'PO &amp; Payment Tracker'!I10:I53)</f>
        <v/>
      </c>
      <c r="D16" s="11">
        <f>SUMIF('PO &amp; Payment Tracker'!F10:F53, "Hiring Splicing Service", 'PO &amp; Payment Tracker'!J10:J53)</f>
        <v/>
      </c>
      <c r="E16" s="12">
        <f>C16+D16</f>
        <v/>
      </c>
      <c r="F16" s="13">
        <f>IF(E16&gt;0, C16/E16, 0)</f>
        <v/>
      </c>
    </row>
    <row r="17" ht="20" customHeight="1">
      <c r="A17" s="33" t="inlineStr">
        <is>
          <t>HT Jointer</t>
        </is>
      </c>
      <c r="B17" s="9">
        <f>COUNTIF('PO &amp; Payment Tracker'!F10:F53, "HT Jointer")</f>
        <v/>
      </c>
      <c r="C17" s="11">
        <f>SUMIF('PO &amp; Payment Tracker'!F10:F53, "HT Jointer", 'PO &amp; Payment Tracker'!I10:I53)</f>
        <v/>
      </c>
      <c r="D17" s="11">
        <f>SUMIF('PO &amp; Payment Tracker'!F10:F53, "HT Jointer", 'PO &amp; Payment Tracker'!J10:J53)</f>
        <v/>
      </c>
      <c r="E17" s="12">
        <f>C17+D17</f>
        <v/>
      </c>
      <c r="F17" s="13">
        <f>IF(E17&gt;0, C17/E17, 0)</f>
        <v/>
      </c>
    </row>
    <row r="18" ht="20" customHeight="1">
      <c r="A18" s="33" t="inlineStr">
        <is>
          <t>String Work</t>
        </is>
      </c>
      <c r="B18" s="9">
        <f>COUNTIF('PO &amp; Payment Tracker'!F10:F53, "String Work")</f>
        <v/>
      </c>
      <c r="C18" s="11">
        <f>SUMIF('PO &amp; Payment Tracker'!F10:F53, "String Work", 'PO &amp; Payment Tracker'!I10:I53)</f>
        <v/>
      </c>
      <c r="D18" s="11">
        <f>SUMIF('PO &amp; Payment Tracker'!F10:F53, "String Work", 'PO &amp; Payment Tracker'!J10:J53)</f>
        <v/>
      </c>
      <c r="E18" s="12">
        <f>C18+D18</f>
        <v/>
      </c>
      <c r="F18" s="13">
        <f>IF(E18&gt;0, C18/E18, 0)</f>
        <v/>
      </c>
    </row>
    <row r="19" ht="20" customHeight="1">
      <c r="A19" s="33" t="inlineStr">
        <is>
          <t>Erection of Module</t>
        </is>
      </c>
      <c r="B19" s="9">
        <f>COUNTIF('PO &amp; Payment Tracker'!F10:F53, "Erection of Module")</f>
        <v/>
      </c>
      <c r="C19" s="11">
        <f>SUMIF('PO &amp; Payment Tracker'!F10:F53, "Erection of Module", 'PO &amp; Payment Tracker'!I10:I53)</f>
        <v/>
      </c>
      <c r="D19" s="11">
        <f>SUMIF('PO &amp; Payment Tracker'!F10:F53, "Erection of Module", 'PO &amp; Payment Tracker'!J10:J53)</f>
        <v/>
      </c>
      <c r="E19" s="12">
        <f>C19+D19</f>
        <v/>
      </c>
      <c r="F19" s="13">
        <f>IF(E19&gt;0, C19/E19, 0)</f>
        <v/>
      </c>
    </row>
    <row r="20" ht="20" customHeight="1">
      <c r="A20" s="33" t="inlineStr">
        <is>
          <t>Supply Labour</t>
        </is>
      </c>
      <c r="B20" s="9">
        <f>COUNTIF('PO &amp; Payment Tracker'!F10:F53, "Supply Labour")</f>
        <v/>
      </c>
      <c r="C20" s="11">
        <f>SUMIF('PO &amp; Payment Tracker'!F10:F53, "Supply Labour", 'PO &amp; Payment Tracker'!I10:I53)</f>
        <v/>
      </c>
      <c r="D20" s="11">
        <f>SUMIF('PO &amp; Payment Tracker'!F10:F53, "Supply Labour", 'PO &amp; Payment Tracker'!J10:J53)</f>
        <v/>
      </c>
      <c r="E20" s="12">
        <f>C20+D20</f>
        <v/>
      </c>
      <c r="F20" s="13">
        <f>IF(E20&gt;0, C20/E20, 0)</f>
        <v/>
      </c>
    </row>
    <row r="21" ht="20" customHeight="1">
      <c r="A21" s="33" t="inlineStr">
        <is>
          <t>DC Works</t>
        </is>
      </c>
      <c r="B21" s="9">
        <f>COUNTIF('PO &amp; Payment Tracker'!F10:F53, "DC Works")</f>
        <v/>
      </c>
      <c r="C21" s="11">
        <f>SUMIF('PO &amp; Payment Tracker'!F10:F53, "DC Works", 'PO &amp; Payment Tracker'!I10:I53)</f>
        <v/>
      </c>
      <c r="D21" s="11">
        <f>SUMIF('PO &amp; Payment Tracker'!F10:F53, "DC Works", 'PO &amp; Payment Tracker'!J10:J53)</f>
        <v/>
      </c>
      <c r="E21" s="12">
        <f>C21+D21</f>
        <v/>
      </c>
      <c r="F21" s="13">
        <f>IF(E21&gt;0, C21/E21, 0)</f>
        <v/>
      </c>
    </row>
    <row r="22" ht="20" customHeight="1">
      <c r="A22" s="33" t="inlineStr">
        <is>
          <t>AC Work</t>
        </is>
      </c>
      <c r="B22" s="9">
        <f>COUNTIF('PO &amp; Payment Tracker'!F10:F53, "AC Work")</f>
        <v/>
      </c>
      <c r="C22" s="11">
        <f>SUMIF('PO &amp; Payment Tracker'!F10:F53, "AC Work", 'PO &amp; Payment Tracker'!I10:I53)</f>
        <v/>
      </c>
      <c r="D22" s="11">
        <f>SUMIF('PO &amp; Payment Tracker'!F10:F53, "AC Work", 'PO &amp; Payment Tracker'!J10:J53)</f>
        <v/>
      </c>
      <c r="E22" s="12">
        <f>C22+D22</f>
        <v/>
      </c>
      <c r="F22" s="13">
        <f>IF(E22&gt;0, C22/E22, 0)</f>
        <v/>
      </c>
    </row>
    <row r="23" ht="20" customHeight="1">
      <c r="A23" s="33" t="inlineStr">
        <is>
          <t>WATER SUPPLIERS</t>
        </is>
      </c>
      <c r="B23" s="9">
        <f>COUNTIF('PO &amp; Payment Tracker'!F10:F53, "WATER SUPPLIERS")</f>
        <v/>
      </c>
      <c r="C23" s="11">
        <f>SUMIF('PO &amp; Payment Tracker'!F10:F53, "WATER SUPPLIERS", 'PO &amp; Payment Tracker'!I10:I53)</f>
        <v/>
      </c>
      <c r="D23" s="11">
        <f>SUMIF('PO &amp; Payment Tracker'!F10:F53, "WATER SUPPLIERS", 'PO &amp; Payment Tracker'!J10:J53)</f>
        <v/>
      </c>
      <c r="E23" s="12">
        <f>C23+D23</f>
        <v/>
      </c>
      <c r="F23" s="13">
        <f>IF(E23&gt;0, C23/E23, 0)</f>
        <v/>
      </c>
    </row>
    <row r="24" ht="20" customHeight="1">
      <c r="A24" s="33" t="inlineStr">
        <is>
          <t>Oger Machine</t>
        </is>
      </c>
      <c r="B24" s="9">
        <f>COUNTIF('PO &amp; Payment Tracker'!F10:F53, "Oger Machine")</f>
        <v/>
      </c>
      <c r="C24" s="11">
        <f>SUMIF('PO &amp; Payment Tracker'!F10:F53, "Oger Machine", 'PO &amp; Payment Tracker'!I10:I53)</f>
        <v/>
      </c>
      <c r="D24" s="11">
        <f>SUMIF('PO &amp; Payment Tracker'!F10:F53, "Oger Machine", 'PO &amp; Payment Tracker'!J10:J53)</f>
        <v/>
      </c>
      <c r="E24" s="12">
        <f>C24+D24</f>
        <v/>
      </c>
      <c r="F24" s="13">
        <f>IF(E24&gt;0, C24/E24, 0)</f>
        <v/>
      </c>
    </row>
    <row r="25" ht="20" customHeight="1">
      <c r="A25" s="33" t="inlineStr">
        <is>
          <t>Cabin / Material</t>
        </is>
      </c>
      <c r="B25" s="9">
        <f>COUNTIF('PO &amp; Payment Tracker'!F10:F53, "Cabin / Material")</f>
        <v/>
      </c>
      <c r="C25" s="11">
        <f>SUMIF('PO &amp; Payment Tracker'!F10:F53, "Cabin / Material", 'PO &amp; Payment Tracker'!I10:I53)</f>
        <v/>
      </c>
      <c r="D25" s="11">
        <f>SUMIF('PO &amp; Payment Tracker'!F10:F53, "Cabin / Material", 'PO &amp; Payment Tracker'!J10:J53)</f>
        <v/>
      </c>
      <c r="E25" s="12">
        <f>C25+D25</f>
        <v/>
      </c>
      <c r="F25" s="13">
        <f>IF(E25&gt;0, C25/E25, 0)</f>
        <v/>
      </c>
    </row>
    <row r="26" ht="24" customHeight="1">
      <c r="A26" s="27" t="inlineStr">
        <is>
          <t>TOTALS</t>
        </is>
      </c>
      <c r="B26" s="31">
        <f>SUM(B5:B25)</f>
        <v/>
      </c>
      <c r="C26" s="29">
        <f>SUM(C5:C25)</f>
        <v/>
      </c>
      <c r="D26" s="29">
        <f>SUM(D5:D25)</f>
        <v/>
      </c>
      <c r="E26" s="29">
        <f>SUM(E5:E25)</f>
        <v/>
      </c>
      <c r="F26" s="30">
        <f>C26/E26</f>
        <v/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2026-07-29T10:23:12Z</dcterms:created>
  <dcterms:modified xmlns:dcterms="http://purl.org/dc/terms/" xmlns:xsi="http://www.w3.org/2001/XMLSchema-instance" xsi:type="dcterms:W3CDTF">2026-07-29T10:23:12Z</dcterms:modified>
</cp:coreProperties>
</file>