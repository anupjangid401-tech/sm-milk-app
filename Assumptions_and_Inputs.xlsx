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##\,##\,##\,##0;[&gt;=100000]##\,##\,##0;##,##0"/>
    <numFmt numFmtId="165" formatCode="0.000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2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0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9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20" customWidth="1" min="4" max="4"/>
  </cols>
  <sheetData>
    <row r="1"/>
    <row r="2" ht="30" customHeight="1">
      <c r="B2" s="1" t="inlineStr">
        <is>
          <t>Assumptions &amp; Inputs</t>
        </is>
      </c>
      <c r="C2" s="1" t="n"/>
      <c r="D2" s="1" t="n"/>
    </row>
    <row r="3" ht="10" customHeight="1"/>
    <row r="4" ht="22" customHeight="1">
      <c r="B4" s="2" t="inlineStr">
        <is>
          <t>Basic Assumptions</t>
        </is>
      </c>
      <c r="C4" s="2" t="n"/>
      <c r="D4" s="2" t="n"/>
    </row>
    <row r="5" ht="20" customHeight="1">
      <c r="B5" s="3" t="inlineStr">
        <is>
          <t>No.of Hours per day</t>
        </is>
      </c>
      <c r="C5" s="4" t="inlineStr"/>
      <c r="D5" s="5" t="n">
        <v>24</v>
      </c>
    </row>
    <row r="6" ht="20" customHeight="1">
      <c r="B6" s="3" t="inlineStr">
        <is>
          <t>No. of days in a year</t>
        </is>
      </c>
      <c r="C6" s="4" t="inlineStr">
        <is>
          <t>days</t>
        </is>
      </c>
      <c r="D6" s="5" t="n">
        <v>365</v>
      </c>
    </row>
    <row r="7" ht="20" customHeight="1">
      <c r="B7" s="3" t="inlineStr">
        <is>
          <t>1 MW =</t>
        </is>
      </c>
      <c r="C7" s="4" t="inlineStr">
        <is>
          <t>KW</t>
        </is>
      </c>
      <c r="D7" s="5" t="n">
        <v>1000</v>
      </c>
    </row>
    <row r="8" ht="20" customHeight="1">
      <c r="B8" s="3" t="inlineStr">
        <is>
          <t>No.of units per one crore</t>
        </is>
      </c>
      <c r="C8" s="4" t="inlineStr"/>
      <c r="D8" s="6" t="n">
        <v>10000000</v>
      </c>
    </row>
    <row r="9" ht="10" customHeight="1"/>
    <row r="10" ht="22" customHeight="1">
      <c r="B10" s="2" t="inlineStr">
        <is>
          <t>Assumptions of Project</t>
        </is>
      </c>
      <c r="C10" s="2" t="n"/>
      <c r="D10" s="2" t="n"/>
    </row>
    <row r="11" ht="20" customHeight="1">
      <c r="B11" s="3" t="inlineStr">
        <is>
          <t>No.of days in a year</t>
        </is>
      </c>
      <c r="C11" s="4" t="inlineStr">
        <is>
          <t>days</t>
        </is>
      </c>
      <c r="D11" s="7" t="n">
        <v>0.11</v>
      </c>
    </row>
    <row r="12" ht="20" customHeight="1">
      <c r="B12" s="3" t="inlineStr"/>
      <c r="C12" s="4" t="inlineStr"/>
      <c r="D12" s="8" t="inlineStr"/>
    </row>
    <row r="13" ht="20" customHeight="1">
      <c r="B13" s="3" t="inlineStr">
        <is>
          <t>Life of Plant</t>
        </is>
      </c>
      <c r="C13" s="4" t="inlineStr">
        <is>
          <t>Years</t>
        </is>
      </c>
      <c r="D13" s="9" t="n">
        <v>25</v>
      </c>
    </row>
    <row r="14" ht="20" customHeight="1">
      <c r="B14" s="3" t="inlineStr">
        <is>
          <t>Installed Capacity</t>
        </is>
      </c>
      <c r="C14" s="4" t="inlineStr">
        <is>
          <t>MW</t>
        </is>
      </c>
      <c r="D14" s="10" t="n">
        <v>100</v>
      </c>
    </row>
    <row r="15" ht="20" customHeight="1">
      <c r="B15" s="3" t="inlineStr">
        <is>
          <t>Number of units</t>
        </is>
      </c>
      <c r="C15" s="4" t="inlineStr">
        <is>
          <t>No.</t>
        </is>
      </c>
      <c r="D15" s="5" t="n">
        <v>1</v>
      </c>
    </row>
    <row r="16" ht="20" customHeight="1">
      <c r="B16" s="3" t="inlineStr">
        <is>
          <t>Total Capacity</t>
        </is>
      </c>
      <c r="C16" s="4" t="inlineStr"/>
      <c r="D16" s="5">
        <f>D14*D15</f>
        <v/>
      </c>
    </row>
    <row r="17" ht="20" customHeight="1">
      <c r="B17" s="3" t="inlineStr">
        <is>
          <t>Gross Saleable Capacity</t>
        </is>
      </c>
      <c r="C17" s="4" t="inlineStr">
        <is>
          <t>MW</t>
        </is>
      </c>
      <c r="D17" s="10" t="n">
        <v>100</v>
      </c>
    </row>
    <row r="18" ht="20" customHeight="1">
      <c r="B18" s="3" t="inlineStr">
        <is>
          <t>Selling Price</t>
        </is>
      </c>
      <c r="C18" s="4" t="inlineStr">
        <is>
          <t>Rs</t>
        </is>
      </c>
      <c r="D18" s="10" t="n">
        <v>6.3</v>
      </c>
    </row>
    <row r="19" ht="20" customHeight="1">
      <c r="B19" s="3" t="inlineStr">
        <is>
          <t>Wheeling Charges per unit</t>
        </is>
      </c>
      <c r="C19" s="4" t="inlineStr">
        <is>
          <t>Rs</t>
        </is>
      </c>
      <c r="D19" s="10" t="n">
        <v>0.52</v>
      </c>
    </row>
    <row r="20" ht="20" customHeight="1">
      <c r="B20" s="3" t="inlineStr">
        <is>
          <t>Transmission loss ( 33 kv ) ( Appx)+ Wheeling loss</t>
        </is>
      </c>
      <c r="C20" s="4" t="inlineStr">
        <is>
          <t>Rs</t>
        </is>
      </c>
      <c r="D20" s="10" t="n">
        <v>0.24</v>
      </c>
    </row>
    <row r="21" ht="20" customHeight="1">
      <c r="B21" s="3" t="inlineStr">
        <is>
          <t>Transmission Charges per unit</t>
        </is>
      </c>
      <c r="C21" s="4" t="inlineStr">
        <is>
          <t>Rs</t>
        </is>
      </c>
      <c r="D21" s="10" t="n">
        <v>0.5</v>
      </c>
    </row>
    <row r="22" ht="20" customHeight="1">
      <c r="B22" s="3" t="inlineStr">
        <is>
          <t>Elec Duty TANGENDCO + SLDC+Operating charges</t>
        </is>
      </c>
      <c r="C22" s="4" t="inlineStr">
        <is>
          <t>Rs</t>
        </is>
      </c>
      <c r="D22" s="10" t="n">
        <v>0.33</v>
      </c>
    </row>
    <row r="23" ht="20" customHeight="1">
      <c r="B23" s="3" t="inlineStr">
        <is>
          <t>Base Tariff for UMPPL</t>
        </is>
      </c>
      <c r="C23" s="4" t="inlineStr">
        <is>
          <t>Per Unit</t>
        </is>
      </c>
      <c r="D23" s="10">
        <f>D18-D19-D20-D21-D22</f>
        <v/>
      </c>
    </row>
    <row r="24" ht="20" customHeight="1">
      <c r="B24" s="3" t="inlineStr">
        <is>
          <t>PLF</t>
        </is>
      </c>
      <c r="C24" s="4" t="inlineStr">
        <is>
          <t>%</t>
        </is>
      </c>
      <c r="D24" s="11" t="n">
        <v>0.285</v>
      </c>
    </row>
    <row r="25" ht="20" customHeight="1">
      <c r="B25" s="3" t="inlineStr">
        <is>
          <t>System Losses (%)</t>
        </is>
      </c>
      <c r="C25" s="4" t="inlineStr">
        <is>
          <t>%</t>
        </is>
      </c>
      <c r="D25" s="11" t="n">
        <v>0.01</v>
      </c>
    </row>
    <row r="26" ht="10" customHeight="1"/>
    <row r="27" ht="22" customHeight="1">
      <c r="B27" s="2" t="inlineStr">
        <is>
          <t>Working Capital Norms &amp; Escalations</t>
        </is>
      </c>
      <c r="C27" s="2" t="n"/>
      <c r="D27" s="2" t="n"/>
    </row>
    <row r="28" ht="20" customHeight="1">
      <c r="B28" s="3" t="inlineStr">
        <is>
          <t>O&amp;M and Insurance Expenses</t>
        </is>
      </c>
      <c r="C28" s="4" t="inlineStr">
        <is>
          <t>Month</t>
        </is>
      </c>
      <c r="D28" s="9" t="n">
        <v>2</v>
      </c>
    </row>
    <row r="29" ht="20" customHeight="1">
      <c r="B29" s="3" t="inlineStr">
        <is>
          <t>O &amp; M Expenses and Insurance (Rs Cr / MW)</t>
        </is>
      </c>
      <c r="C29" s="4" t="inlineStr"/>
      <c r="D29" s="12" t="n">
        <v>0.14</v>
      </c>
    </row>
    <row r="30" ht="20" customHeight="1">
      <c r="B30" s="3" t="inlineStr">
        <is>
          <t>Assumed annual O&amp;M cost increment</t>
        </is>
      </c>
      <c r="C30" s="4" t="inlineStr"/>
      <c r="D30" s="11" t="n">
        <v>0.05</v>
      </c>
    </row>
    <row r="31" ht="20" customHeight="1">
      <c r="B31" s="3" t="inlineStr">
        <is>
          <t>Free O&amp;M</t>
        </is>
      </c>
      <c r="C31" s="4" t="inlineStr">
        <is>
          <t>Years</t>
        </is>
      </c>
      <c r="D31" s="7" t="n">
        <v>2</v>
      </c>
    </row>
    <row r="32" ht="10" customHeight="1"/>
    <row r="33" ht="22" customHeight="1">
      <c r="B33" s="2" t="inlineStr">
        <is>
          <t>Debt</t>
        </is>
      </c>
      <c r="C33" s="2" t="n"/>
      <c r="D33" s="2" t="n"/>
    </row>
    <row r="34" ht="20" customHeight="1">
      <c r="B34" s="3" t="inlineStr">
        <is>
          <t>Main debt</t>
        </is>
      </c>
      <c r="C34" s="4" t="inlineStr">
        <is>
          <t>Quarters</t>
        </is>
      </c>
      <c r="D34" s="9" t="n">
        <v>60</v>
      </c>
    </row>
    <row r="35" ht="20" customHeight="1">
      <c r="B35" s="3" t="inlineStr">
        <is>
          <t>Moratorium</t>
        </is>
      </c>
      <c r="C35" s="4" t="inlineStr">
        <is>
          <t>Month</t>
        </is>
      </c>
      <c r="D35" s="9" t="n">
        <v>6</v>
      </c>
    </row>
    <row r="36" ht="20" customHeight="1">
      <c r="B36" s="3" t="inlineStr">
        <is>
          <t>Installments per year (quarterly)</t>
        </is>
      </c>
      <c r="C36" s="4" t="inlineStr"/>
      <c r="D36" s="9" t="n">
        <v>4</v>
      </c>
    </row>
    <row r="37" ht="20" customHeight="1">
      <c r="B37" s="3" t="inlineStr">
        <is>
          <t>Repayment Period</t>
        </is>
      </c>
      <c r="C37" s="4" t="inlineStr">
        <is>
          <t>Years</t>
        </is>
      </c>
      <c r="D37" s="9">
        <f>D34/D36</f>
        <v/>
      </c>
    </row>
    <row r="38" ht="20" customHeight="1">
      <c r="B38" s="3" t="inlineStr">
        <is>
          <t>Interest on Main debt</t>
        </is>
      </c>
      <c r="C38" s="4" t="inlineStr"/>
      <c r="D38" s="11" t="n">
        <v>0.08500000000000001</v>
      </c>
    </row>
    <row r="39" ht="10" customHeight="1"/>
    <row r="40" ht="22" customHeight="1">
      <c r="B40" s="2" t="inlineStr">
        <is>
          <t>Salvage Value</t>
        </is>
      </c>
      <c r="C40" s="2" t="n"/>
      <c r="D40" s="2" t="n"/>
    </row>
    <row r="41" ht="20" customHeight="1">
      <c r="B41" s="3" t="inlineStr">
        <is>
          <t>Salvage/ Residual Value (Rs Crores)</t>
        </is>
      </c>
      <c r="C41" s="13" t="n">
        <v>0.1</v>
      </c>
      <c r="D41" s="10" t="n">
        <v>78.87</v>
      </c>
    </row>
    <row r="42" ht="20" customHeight="1">
      <c r="B42" s="3" t="inlineStr">
        <is>
          <t>Depreciation Rate For Years</t>
        </is>
      </c>
      <c r="C42" s="10" t="n">
        <v>10</v>
      </c>
      <c r="D42" s="14" t="n">
        <v>0.07000000000000001</v>
      </c>
    </row>
    <row r="43" ht="20" customHeight="1">
      <c r="B43" s="3" t="inlineStr">
        <is>
          <t>Thereafter Equal spread of balance value</t>
        </is>
      </c>
      <c r="C43" s="4" t="inlineStr"/>
      <c r="D43" s="15" t="inlineStr"/>
    </row>
    <row r="44" ht="10" customHeight="1"/>
    <row r="45" ht="22" customHeight="1">
      <c r="B45" s="2" t="inlineStr">
        <is>
          <t>Income Tax</t>
        </is>
      </c>
      <c r="C45" s="2" t="n"/>
      <c r="D45" s="2" t="n"/>
    </row>
    <row r="46" ht="20" customHeight="1">
      <c r="B46" s="3" t="inlineStr">
        <is>
          <t>Corporate Tax</t>
        </is>
      </c>
      <c r="C46" s="4" t="inlineStr"/>
      <c r="D46" s="11" t="n">
        <v>0.26</v>
      </c>
    </row>
    <row r="47" ht="20" customHeight="1">
      <c r="B47" s="3" t="inlineStr">
        <is>
          <t>MAT</t>
        </is>
      </c>
      <c r="C47" s="4" t="inlineStr"/>
      <c r="D47" s="11" t="n">
        <v>0.2096</v>
      </c>
    </row>
    <row r="48" ht="10" customHeight="1"/>
    <row r="49" ht="22" customHeight="1">
      <c r="B49" s="2" t="inlineStr">
        <is>
          <t>Insurance and Misc</t>
        </is>
      </c>
      <c r="C49" s="2" t="n"/>
      <c r="D49" s="2" t="n"/>
    </row>
    <row r="50" ht="20" customHeight="1">
      <c r="B50" s="3" t="inlineStr">
        <is>
          <t>% of WDV</t>
        </is>
      </c>
      <c r="C50" s="4" t="inlineStr"/>
      <c r="D50" s="11" t="n">
        <v>0.005</v>
      </c>
    </row>
    <row r="51" ht="20" customHeight="1">
      <c r="B51" s="3" t="inlineStr">
        <is>
          <t>Misc</t>
        </is>
      </c>
      <c r="C51" s="4" t="inlineStr"/>
      <c r="D51" s="16" t="n">
        <v>0.005</v>
      </c>
    </row>
    <row r="52" ht="10" customHeight="1"/>
  </sheetData>
  <mergeCells count="8">
    <mergeCell ref="B10:D10"/>
    <mergeCell ref="B33:D33"/>
    <mergeCell ref="B45:D45"/>
    <mergeCell ref="B49:D49"/>
    <mergeCell ref="B4:D4"/>
    <mergeCell ref="B40:D40"/>
    <mergeCell ref="B27:D2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2026-06-12T12:44:34Z</dcterms:created>
  <dcterms:modified xmlns:dcterms="http://purl.org/dc/terms/" xmlns:xsi="http://www.w3.org/2001/XMLSchema-instance" xsi:type="dcterms:W3CDTF">2026-06-12T12:44:34Z</dcterms:modified>
</cp:coreProperties>
</file>