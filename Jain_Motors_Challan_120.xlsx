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2652B8B8-99B3-4338-9D6C-9AC85AF93DA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Challan 1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F10" i="1"/>
  <c r="F9" i="1"/>
  <c r="F19" i="1" s="1"/>
  <c r="F21" i="1" l="1"/>
  <c r="F20" i="1"/>
</calcChain>
</file>

<file path=xl/sharedStrings.xml><?xml version="1.0" encoding="utf-8"?>
<sst xmlns="http://schemas.openxmlformats.org/spreadsheetml/2006/main" count="29" uniqueCount="29">
  <si>
    <t>JAIN MOTORS</t>
  </si>
  <si>
    <t>CHALLAN BOOK  |  Mob. : 9358993882</t>
  </si>
  <si>
    <t>Challan No:</t>
  </si>
  <si>
    <t>Date:</t>
  </si>
  <si>
    <t>2026-06-13</t>
  </si>
  <si>
    <t>Customer:</t>
  </si>
  <si>
    <t>MSC</t>
  </si>
  <si>
    <t>S.No.</t>
  </si>
  <si>
    <t>Particulars</t>
  </si>
  <si>
    <t>Qty</t>
  </si>
  <si>
    <t>Rate</t>
  </si>
  <si>
    <t>Amount</t>
  </si>
  <si>
    <t>FILTER PANA</t>
  </si>
  <si>
    <t>BOSAICAL 12 TON</t>
  </si>
  <si>
    <t>BOSAICAL 17 TON</t>
  </si>
  <si>
    <t>D-CIACL 1 TON</t>
  </si>
  <si>
    <t>3KG HAMMER</t>
  </si>
  <si>
    <t>5KG HAMMER</t>
  </si>
  <si>
    <t>FAUDA</t>
  </si>
  <si>
    <t>12x12x36</t>
  </si>
  <si>
    <t>4x4x36</t>
  </si>
  <si>
    <t>TOMMi</t>
  </si>
  <si>
    <t>Subtotal</t>
  </si>
  <si>
    <t>GST (18%)</t>
  </si>
  <si>
    <t>Grand Total</t>
  </si>
  <si>
    <t>Authorized Dealer: FERRETERRO | BOSCH | TAPARIA | INGCO</t>
  </si>
  <si>
    <t>For JAIN MOTORS</t>
  </si>
  <si>
    <t>_________________________</t>
  </si>
  <si>
    <t>Authorized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</si>
</sst>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F8F9FA"/>
      <name val="Segoe UI"/>
    </font>
    <font>
      <b/>
      <sz val="10"/>
      <color rgb="FF495057"/>
      <name val="Segoe UI"/>
    </font>
    <font>
      <sz val="10"/>
      <color rgb="FF212529"/>
      <name val="Segoe UI"/>
    </font>
    <font>
      <b/>
      <sz val="10"/>
      <color rgb="FFFFFFFF"/>
      <name val="Segoe UI"/>
    </font>
    <font>
      <b/>
      <sz val="10"/>
      <color rgb="FF212529"/>
      <name val="Segoe UI"/>
    </font>
    <font>
      <b/>
      <sz val="11"/>
      <color rgb="FF212529"/>
      <name val="Segoe UI"/>
    </font>
    <font>
      <i/>
      <sz val="9"/>
      <color rgb="FF6C757D"/>
      <name val="Segoe UI"/>
    </font>
    <font>
      <b/>
      <sz val="9"/>
      <color rgb="FF495057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212529"/>
        <bgColor rgb="FF212529"/>
      </patternFill>
    </fill>
    <fill>
      <patternFill patternType="solid">
        <fgColor rgb="FF495057"/>
        <bgColor rgb="FF495057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9ECEF"/>
        <bgColor rgb="FFE9ECEF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1252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212529"/>
      </top>
      <bottom style="double">
        <color rgb="FF21252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3" fontId="4" fillId="4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3" fontId="4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right" vertical="center"/>
    </xf>
    <xf numFmtId="164" fontId="6" fillId="6" borderId="3" xfId="0" applyNumberFormat="1" applyFont="1" applyFill="1" applyBorder="1" applyAlignment="1">
      <alignment horizontal="right" vertical="center"/>
    </xf>
    <xf numFmtId="164" fontId="7" fillId="6" borderId="4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6" borderId="4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workbookViewId="0">
      <selection activeCell="B1" sqref="B1"/>
    </sheetView>
  </sheetViews>
  <sheetFormatPr defaultRowHeight="14.4" x14ac:dyDescent="0.3"/>
  <cols>
    <col min="1" max="1" width="3" customWidth="1"/>
    <col min="2" max="2" width="11.88671875" customWidth="1"/>
    <col min="3" max="3" width="35" customWidth="1"/>
    <col min="4" max="4" width="10" customWidth="1"/>
    <col min="5" max="5" width="14" customWidth="1"/>
    <col min="6" max="6" width="18" customWidth="1"/>
    <col min="7" max="7" width="3" customWidth="1"/>
  </cols>
  <sheetData>
    <row r="1" spans="2:6" ht="10.050000000000001" customHeight="1" x14ac:dyDescent="0.3"/>
    <row r="2" spans="2:6" ht="25.05" customHeight="1" x14ac:dyDescent="0.3">
      <c r="B2" s="18" t="s">
        <v>0</v>
      </c>
      <c r="C2" s="18"/>
      <c r="D2" s="18"/>
      <c r="E2" s="18"/>
      <c r="F2" s="18"/>
    </row>
    <row r="3" spans="2:6" ht="18" customHeight="1" x14ac:dyDescent="0.3">
      <c r="B3" s="21" t="s">
        <v>1</v>
      </c>
      <c r="C3" s="21"/>
      <c r="D3" s="21"/>
      <c r="E3" s="21"/>
      <c r="F3" s="21"/>
    </row>
    <row r="4" spans="2:6" ht="12" customHeight="1" x14ac:dyDescent="0.3"/>
    <row r="5" spans="2:6" ht="19.95" customHeight="1" x14ac:dyDescent="0.3">
      <c r="B5" s="1" t="s">
        <v>2</v>
      </c>
      <c r="C5" s="2">
        <v>120</v>
      </c>
      <c r="D5" s="3"/>
      <c r="E5" s="4" t="s">
        <v>3</v>
      </c>
      <c r="F5" s="2" t="s">
        <v>4</v>
      </c>
    </row>
    <row r="6" spans="2:6" ht="19.95" customHeight="1" x14ac:dyDescent="0.3">
      <c r="B6" s="1" t="s">
        <v>5</v>
      </c>
      <c r="C6" s="2" t="s">
        <v>6</v>
      </c>
      <c r="D6" s="3"/>
      <c r="E6" s="3"/>
      <c r="F6" s="3"/>
    </row>
    <row r="7" spans="2:6" ht="15" customHeight="1" x14ac:dyDescent="0.3"/>
    <row r="8" spans="2:6" ht="25.95" customHeight="1" x14ac:dyDescent="0.3">
      <c r="B8" s="5" t="s">
        <v>7</v>
      </c>
      <c r="C8" s="6" t="s">
        <v>8</v>
      </c>
      <c r="D8" s="5" t="s">
        <v>9</v>
      </c>
      <c r="E8" s="7" t="s">
        <v>10</v>
      </c>
      <c r="F8" s="7" t="s">
        <v>11</v>
      </c>
    </row>
    <row r="9" spans="2:6" ht="22.05" customHeight="1" x14ac:dyDescent="0.3">
      <c r="B9" s="8">
        <v>1</v>
      </c>
      <c r="C9" s="9" t="s">
        <v>12</v>
      </c>
      <c r="D9" s="10">
        <v>1</v>
      </c>
      <c r="E9" s="11">
        <v>350</v>
      </c>
      <c r="F9" s="11">
        <f t="shared" ref="F9:F18" si="0">D9*E9</f>
        <v>350</v>
      </c>
    </row>
    <row r="10" spans="2:6" ht="22.05" customHeight="1" x14ac:dyDescent="0.3">
      <c r="B10" s="12">
        <v>2</v>
      </c>
      <c r="C10" s="13" t="s">
        <v>13</v>
      </c>
      <c r="D10" s="14">
        <v>8</v>
      </c>
      <c r="E10" s="15">
        <v>1200</v>
      </c>
      <c r="F10" s="15">
        <f t="shared" si="0"/>
        <v>9600</v>
      </c>
    </row>
    <row r="11" spans="2:6" ht="22.05" customHeight="1" x14ac:dyDescent="0.3">
      <c r="B11" s="8">
        <v>3</v>
      </c>
      <c r="C11" s="9" t="s">
        <v>14</v>
      </c>
      <c r="D11" s="10">
        <v>4</v>
      </c>
      <c r="E11" s="11">
        <v>1700</v>
      </c>
      <c r="F11" s="11">
        <f t="shared" si="0"/>
        <v>6800</v>
      </c>
    </row>
    <row r="12" spans="2:6" ht="22.05" customHeight="1" x14ac:dyDescent="0.3">
      <c r="B12" s="12">
        <v>4</v>
      </c>
      <c r="C12" s="13" t="s">
        <v>15</v>
      </c>
      <c r="D12" s="14">
        <v>4</v>
      </c>
      <c r="E12" s="15">
        <v>100</v>
      </c>
      <c r="F12" s="15">
        <f t="shared" si="0"/>
        <v>400</v>
      </c>
    </row>
    <row r="13" spans="2:6" ht="22.05" customHeight="1" x14ac:dyDescent="0.3">
      <c r="B13" s="8">
        <v>5</v>
      </c>
      <c r="C13" s="9" t="s">
        <v>16</v>
      </c>
      <c r="D13" s="10">
        <v>1</v>
      </c>
      <c r="E13" s="11">
        <v>600</v>
      </c>
      <c r="F13" s="11">
        <f t="shared" si="0"/>
        <v>600</v>
      </c>
    </row>
    <row r="14" spans="2:6" ht="22.05" customHeight="1" x14ac:dyDescent="0.3">
      <c r="B14" s="12">
        <v>6</v>
      </c>
      <c r="C14" s="13" t="s">
        <v>17</v>
      </c>
      <c r="D14" s="14">
        <v>1</v>
      </c>
      <c r="E14" s="15">
        <v>1000</v>
      </c>
      <c r="F14" s="15">
        <f t="shared" si="0"/>
        <v>1000</v>
      </c>
    </row>
    <row r="15" spans="2:6" ht="22.05" customHeight="1" x14ac:dyDescent="0.3">
      <c r="B15" s="8">
        <v>7</v>
      </c>
      <c r="C15" s="9" t="s">
        <v>18</v>
      </c>
      <c r="D15" s="10">
        <v>2</v>
      </c>
      <c r="E15" s="11">
        <v>250</v>
      </c>
      <c r="F15" s="11">
        <f t="shared" si="0"/>
        <v>500</v>
      </c>
    </row>
    <row r="16" spans="2:6" ht="22.05" customHeight="1" x14ac:dyDescent="0.3">
      <c r="B16" s="12">
        <v>8</v>
      </c>
      <c r="C16" s="13" t="s">
        <v>19</v>
      </c>
      <c r="D16" s="14">
        <v>20</v>
      </c>
      <c r="E16" s="15">
        <v>3000</v>
      </c>
      <c r="F16" s="15">
        <f t="shared" si="0"/>
        <v>60000</v>
      </c>
    </row>
    <row r="17" spans="2:6" ht="22.05" customHeight="1" x14ac:dyDescent="0.3">
      <c r="B17" s="8">
        <v>9</v>
      </c>
      <c r="C17" s="9" t="s">
        <v>20</v>
      </c>
      <c r="D17" s="10">
        <v>40</v>
      </c>
      <c r="E17" s="11">
        <v>800</v>
      </c>
      <c r="F17" s="11">
        <f t="shared" si="0"/>
        <v>32000</v>
      </c>
    </row>
    <row r="18" spans="2:6" ht="22.05" customHeight="1" x14ac:dyDescent="0.3">
      <c r="B18" s="12">
        <v>10</v>
      </c>
      <c r="C18" s="13" t="s">
        <v>21</v>
      </c>
      <c r="D18" s="14">
        <v>2</v>
      </c>
      <c r="E18" s="15">
        <v>750</v>
      </c>
      <c r="F18" s="15">
        <f t="shared" si="0"/>
        <v>1500</v>
      </c>
    </row>
    <row r="19" spans="2:6" ht="22.05" customHeight="1" x14ac:dyDescent="0.3">
      <c r="B19" s="24" t="s">
        <v>22</v>
      </c>
      <c r="C19" s="24"/>
      <c r="D19" s="24"/>
      <c r="E19" s="24"/>
      <c r="F19" s="16">
        <f>SUM(F9:F18)</f>
        <v>112750</v>
      </c>
    </row>
    <row r="20" spans="2:6" ht="22.05" customHeight="1" x14ac:dyDescent="0.3">
      <c r="B20" s="24" t="s">
        <v>23</v>
      </c>
      <c r="C20" s="24"/>
      <c r="D20" s="24"/>
      <c r="E20" s="24"/>
      <c r="F20" s="16">
        <f>F19*0.18</f>
        <v>20295</v>
      </c>
    </row>
    <row r="21" spans="2:6" ht="24" customHeight="1" x14ac:dyDescent="0.3">
      <c r="B21" s="20" t="s">
        <v>24</v>
      </c>
      <c r="C21" s="20"/>
      <c r="D21" s="20"/>
      <c r="E21" s="20"/>
      <c r="F21" s="17">
        <f>F19+F20</f>
        <v>133045</v>
      </c>
    </row>
    <row r="22" spans="2:6" ht="15" customHeight="1" x14ac:dyDescent="0.3"/>
    <row r="23" spans="2:6" x14ac:dyDescent="0.3">
      <c r="B23" s="23" t="s">
        <v>25</v>
      </c>
      <c r="C23" s="23"/>
      <c r="D23" s="23"/>
      <c r="E23" s="23"/>
      <c r="F23" s="23"/>
    </row>
    <row r="24" spans="2:6" ht="10.050000000000001" customHeight="1" x14ac:dyDescent="0.3"/>
    <row r="25" spans="2:6" ht="19.95" customHeight="1" x14ac:dyDescent="0.3">
      <c r="E25" s="19" t="s">
        <v>26</v>
      </c>
      <c r="F25" s="19"/>
    </row>
    <row r="26" spans="2:6" ht="15" customHeight="1" x14ac:dyDescent="0.3"/>
    <row r="27" spans="2:6" ht="15" customHeight="1" x14ac:dyDescent="0.3">
      <c r="E27" s="22" t="s">
        <v>27</v>
      </c>
      <c r="F27" s="22"/>
    </row>
    <row r="28" spans="2:6" ht="15" customHeight="1" x14ac:dyDescent="0.3">
      <c r="E28" s="23" t="s">
        <v>28</v>
      </c>
      <c r="F28" s="23"/>
    </row>
  </sheetData>
  <mergeCells count="9">
    <mergeCell ref="E28:F28"/>
    <mergeCell ref="B23:F23"/>
    <mergeCell ref="B19:E19"/>
    <mergeCell ref="B20:E20"/>
    <mergeCell ref="B2:F2"/>
    <mergeCell ref="E25:F25"/>
    <mergeCell ref="B21:E21"/>
    <mergeCell ref="B3:F3"/>
    <mergeCell ref="E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Challan 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2026-06-13T09:01:58Z</dcterms:created>
  <dcterms:modified xsi:type="dcterms:W3CDTF">2026-06-13T09:03:44Z</dcterms:modified>
</cp:coreProperties>
</file>