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3_ncr:1_{A10DBB7C-F96F-4FB4-BE7F-37A6F6E5C6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ne Wall Measu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D37" i="1" s="1"/>
  <c r="G28" i="1"/>
  <c r="G26" i="1"/>
  <c r="G25" i="1"/>
  <c r="F24" i="1"/>
  <c r="F27" i="1" s="1"/>
  <c r="G17" i="1"/>
  <c r="G16" i="1"/>
  <c r="F15" i="1"/>
  <c r="G14" i="1"/>
  <c r="G13" i="1"/>
  <c r="F12" i="1"/>
  <c r="F18" i="1" s="1"/>
  <c r="G10" i="1"/>
  <c r="G19" i="1" s="1"/>
  <c r="G32" i="1" s="1"/>
  <c r="G9" i="1"/>
  <c r="F8" i="1"/>
  <c r="C38" i="1" l="1"/>
  <c r="D38" i="1" s="1"/>
  <c r="F31" i="1"/>
</calcChain>
</file>

<file path=xl/sharedStrings.xml><?xml version="1.0" encoding="utf-8"?>
<sst xmlns="http://schemas.openxmlformats.org/spreadsheetml/2006/main" count="107" uniqueCount="75">
  <si>
    <t>CONTRACTOR:</t>
  </si>
  <si>
    <t>PAWAN KUMAR</t>
  </si>
  <si>
    <t>COMPANY NAME:</t>
  </si>
  <si>
    <t>ADITYA CONSTRUCTION COMPANY</t>
  </si>
  <si>
    <t>LAST UPDATED:</t>
  </si>
  <si>
    <t>21/07/2026</t>
  </si>
  <si>
    <t>SECTION 1: RECORD DATE - 09/06/2026</t>
  </si>
  <si>
    <t>S.No</t>
  </si>
  <si>
    <t>Work Description</t>
  </si>
  <si>
    <t>Length (L) in ft</t>
  </si>
  <si>
    <t>Width (W) in ft</t>
  </si>
  <si>
    <t>Height/Depth (H) in ft</t>
  </si>
  <si>
    <t>P.C.C. Area (Sq.Ft)</t>
  </si>
  <si>
    <t>Stone Volume (Cu.Ft)</t>
  </si>
  <si>
    <t>Remarks / Handwritten Value</t>
  </si>
  <si>
    <t>1. डिगी दीवार (Diggi Wall)</t>
  </si>
  <si>
    <t>1.1</t>
  </si>
  <si>
    <t>P.C.C.</t>
  </si>
  <si>
    <t>-</t>
  </si>
  <si>
    <t>378.84 Sq.Ft</t>
  </si>
  <si>
    <t>1.2</t>
  </si>
  <si>
    <t>Stone Work</t>
  </si>
  <si>
    <t>448.70 Cu.Ft (Calculated: 448.68)</t>
  </si>
  <si>
    <t>1.3</t>
  </si>
  <si>
    <t>113.16 Cu.Ft</t>
  </si>
  <si>
    <t>2. बाउंड्रीवाल कार्य (Boundary Wall Work)</t>
  </si>
  <si>
    <t>2.1</t>
  </si>
  <si>
    <t>670.00 Sq.Ft</t>
  </si>
  <si>
    <t>2.2</t>
  </si>
  <si>
    <t>536.00 Cu.Ft</t>
  </si>
  <si>
    <t>2.3</t>
  </si>
  <si>
    <t>756.00 Cu.Ft</t>
  </si>
  <si>
    <t>2.4</t>
  </si>
  <si>
    <t>737.50 Sq.Ft</t>
  </si>
  <si>
    <t>2.5</t>
  </si>
  <si>
    <t>590.00 Cu.Ft</t>
  </si>
  <si>
    <t>2.6</t>
  </si>
  <si>
    <t>303.00 Cu.Ft</t>
  </si>
  <si>
    <t>TOTAL P.C.C. AREA (SECTION 1)</t>
  </si>
  <si>
    <t>Sq.Ft</t>
  </si>
  <si>
    <t>Handwritten: 1785.84 Sq.Ft</t>
  </si>
  <si>
    <t>TOTAL STONE WORK VOLUME (SECTION 1)</t>
  </si>
  <si>
    <t>Cu.Ft</t>
  </si>
  <si>
    <t>Handwritten: 2746.86 Cu.Ft</t>
  </si>
  <si>
    <t>SECTION 2: RECORD DATE - 09/07/2026</t>
  </si>
  <si>
    <t>3. बाउंड्रीवाल नया कार्य (Boundary Wall New Work)</t>
  </si>
  <si>
    <t>3.1</t>
  </si>
  <si>
    <t>2500 Sq.Ft</t>
  </si>
  <si>
    <t>3.2</t>
  </si>
  <si>
    <t>Stone Masonry</t>
  </si>
  <si>
    <t>3000 Cu.Ft</t>
  </si>
  <si>
    <t>3.3</t>
  </si>
  <si>
    <t>2250 Cu.Ft</t>
  </si>
  <si>
    <t>TOTAL P.C.C. AREA (SECTION 2)</t>
  </si>
  <si>
    <t>Calculated: 2,500.00 Sq.Ft</t>
  </si>
  <si>
    <t>TOTAL STONE WORK VOLUME (SECTION 2)</t>
  </si>
  <si>
    <t>Calculated: 5,250.00 Cu.Ft</t>
  </si>
  <si>
    <t>GRAND COMBINED TOTALS (ALL RECORDS)</t>
  </si>
  <si>
    <t>GRAND TOTAL P.C.C. AREA (SECTION 1 + 2)</t>
  </si>
  <si>
    <t>Combined PCC Area</t>
  </si>
  <si>
    <t>GRAND TOTAL STONE WORK VOLUME (SECTION 1 + 2)</t>
  </si>
  <si>
    <t>Combined Stone Volume</t>
  </si>
  <si>
    <t>SECTION 1 AUDIT: HANDWRITTEN VS. SYSTEM CALCULATED</t>
  </si>
  <si>
    <t>Item Category</t>
  </si>
  <si>
    <t>Handwritten Value</t>
  </si>
  <si>
    <t>Formula Calculated</t>
  </si>
  <si>
    <t>Difference</t>
  </si>
  <si>
    <t>Audit Note / Analysis</t>
  </si>
  <si>
    <t>Diggi Wall Stone (Item 1.2)</t>
  </si>
  <si>
    <t>74.78 * 2.0 * 3.0 equals 448.68 cft. Rounded to 448.70 in diary.</t>
  </si>
  <si>
    <t>Total P.C.C. Area</t>
  </si>
  <si>
    <t>Handwritten total sum used '737' instead of '737.50' (omitted 0.5 sqft).</t>
  </si>
  <si>
    <t>GRG INFRA PVT LTD</t>
  </si>
  <si>
    <t>RUNNING BILL FRIST</t>
  </si>
  <si>
    <t>RUNNING BILL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</si>
</sst>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2"/>
      <color rgb="FFFFFFFF"/>
      <name val="Segoe UI"/>
    </font>
    <font>
      <b/>
      <sz val="10"/>
      <color rgb="FFFFFFFF"/>
      <name val="Segoe UI"/>
    </font>
    <font>
      <b/>
      <sz val="11"/>
      <color rgb="FF1B365D"/>
      <name val="Segoe UI"/>
    </font>
    <font>
      <b/>
      <sz val="10"/>
      <name val="Segoe UI"/>
    </font>
    <font>
      <sz val="10"/>
      <name val="Segoe UI"/>
    </font>
    <font>
      <i/>
      <sz val="9"/>
      <color rgb="FF555555"/>
      <name val="Segoe UI"/>
    </font>
    <font>
      <b/>
      <sz val="11"/>
      <color rgb="FF7F600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4F7"/>
        <bgColor rgb="FFF2F4F7"/>
      </patternFill>
    </fill>
    <fill>
      <patternFill patternType="solid">
        <fgColor rgb="FF2C4D75"/>
        <bgColor rgb="FF2C4D75"/>
      </patternFill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4" fontId="6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9" fillId="8" borderId="1" xfId="0" applyFont="1" applyFill="1" applyBorder="1"/>
    <xf numFmtId="0" fontId="6" fillId="8" borderId="2" xfId="0" applyFont="1" applyFill="1" applyBorder="1" applyAlignment="1">
      <alignment horizontal="center" vertical="center"/>
    </xf>
    <xf numFmtId="4" fontId="6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1" xfId="0" applyFont="1" applyBorder="1"/>
    <xf numFmtId="0" fontId="7" fillId="3" borderId="1" xfId="0" applyFont="1" applyFill="1" applyBorder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right" vertical="center"/>
    </xf>
    <xf numFmtId="0" fontId="0" fillId="8" borderId="2" xfId="0" applyFill="1" applyBorder="1"/>
    <xf numFmtId="0" fontId="10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/>
    </xf>
    <xf numFmtId="0" fontId="0" fillId="8" borderId="1" xfId="0" applyFill="1" applyBorder="1"/>
    <xf numFmtId="0" fontId="7" fillId="0" borderId="1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7" workbookViewId="0">
      <selection activeCell="A21" sqref="A21:H21"/>
    </sheetView>
  </sheetViews>
  <sheetFormatPr defaultRowHeight="14.4"/>
  <cols>
    <col min="1" max="1" width="8" customWidth="1"/>
    <col min="2" max="2" width="30" customWidth="1"/>
    <col min="3" max="4" width="15" customWidth="1"/>
    <col min="5" max="5" width="18" customWidth="1"/>
    <col min="6" max="6" width="20" customWidth="1"/>
    <col min="7" max="7" width="22" customWidth="1"/>
    <col min="8" max="8" width="35" customWidth="1"/>
  </cols>
  <sheetData>
    <row r="1" spans="1:8" ht="40.049999999999997" customHeight="1">
      <c r="A1" s="24" t="s">
        <v>72</v>
      </c>
      <c r="B1" s="25"/>
      <c r="C1" s="25"/>
      <c r="D1" s="25"/>
      <c r="E1" s="25"/>
      <c r="F1" s="25"/>
      <c r="G1" s="25"/>
      <c r="H1" s="25"/>
    </row>
    <row r="2" spans="1:8" ht="19.95" customHeight="1">
      <c r="A2" s="1" t="s">
        <v>0</v>
      </c>
      <c r="B2" s="21" t="s">
        <v>1</v>
      </c>
      <c r="C2" s="22"/>
      <c r="D2" s="1" t="s">
        <v>2</v>
      </c>
      <c r="E2" s="21" t="s">
        <v>3</v>
      </c>
      <c r="F2" s="22"/>
      <c r="G2" s="22"/>
      <c r="H2" s="22"/>
    </row>
    <row r="3" spans="1:8" ht="19.95" customHeight="1">
      <c r="A3" s="1" t="s">
        <v>4</v>
      </c>
      <c r="B3" s="21" t="s">
        <v>5</v>
      </c>
      <c r="C3" s="22"/>
      <c r="D3" s="2"/>
      <c r="E3" s="22"/>
      <c r="F3" s="22"/>
      <c r="G3" s="22"/>
      <c r="H3" s="22"/>
    </row>
    <row r="4" spans="1:8" ht="15" customHeight="1">
      <c r="E4" t="s">
        <v>73</v>
      </c>
    </row>
    <row r="5" spans="1:8" ht="25.95" customHeight="1">
      <c r="A5" s="28" t="s">
        <v>6</v>
      </c>
      <c r="B5" s="25"/>
      <c r="C5" s="25"/>
      <c r="D5" s="25"/>
      <c r="E5" s="25"/>
      <c r="F5" s="25"/>
      <c r="G5" s="25"/>
      <c r="H5" s="25"/>
    </row>
    <row r="6" spans="1:8" ht="28.05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</row>
    <row r="7" spans="1:8" ht="24" customHeight="1">
      <c r="A7" s="23" t="s">
        <v>15</v>
      </c>
      <c r="B7" s="20"/>
      <c r="C7" s="20"/>
      <c r="D7" s="20"/>
      <c r="E7" s="20"/>
      <c r="F7" s="20"/>
      <c r="G7" s="20"/>
      <c r="H7" s="20"/>
    </row>
    <row r="8" spans="1:8" ht="19.95" customHeight="1">
      <c r="A8" s="4" t="s">
        <v>16</v>
      </c>
      <c r="B8" s="5" t="s">
        <v>17</v>
      </c>
      <c r="C8" s="6">
        <v>126.28</v>
      </c>
      <c r="D8" s="6">
        <v>3</v>
      </c>
      <c r="E8" s="6">
        <v>0.33300000000000002</v>
      </c>
      <c r="F8" s="7">
        <f>C8*D8</f>
        <v>378.84000000000003</v>
      </c>
      <c r="G8" s="8" t="s">
        <v>18</v>
      </c>
      <c r="H8" s="9" t="s">
        <v>19</v>
      </c>
    </row>
    <row r="9" spans="1:8" ht="19.95" customHeight="1">
      <c r="A9" s="4" t="s">
        <v>20</v>
      </c>
      <c r="B9" s="5" t="s">
        <v>21</v>
      </c>
      <c r="C9" s="6">
        <v>74.78</v>
      </c>
      <c r="D9" s="6">
        <v>2</v>
      </c>
      <c r="E9" s="6">
        <v>3</v>
      </c>
      <c r="F9" s="8" t="s">
        <v>18</v>
      </c>
      <c r="G9" s="7">
        <f>C9*D9*E9</f>
        <v>448.68</v>
      </c>
      <c r="H9" s="9" t="s">
        <v>22</v>
      </c>
    </row>
    <row r="10" spans="1:8" ht="19.95" customHeight="1">
      <c r="A10" s="4" t="s">
        <v>23</v>
      </c>
      <c r="B10" s="5" t="s">
        <v>21</v>
      </c>
      <c r="C10" s="6">
        <v>37.72</v>
      </c>
      <c r="D10" s="6">
        <v>2</v>
      </c>
      <c r="E10" s="6">
        <v>1.5</v>
      </c>
      <c r="F10" s="8" t="s">
        <v>18</v>
      </c>
      <c r="G10" s="7">
        <f>C10*D10*E10</f>
        <v>113.16</v>
      </c>
      <c r="H10" s="9" t="s">
        <v>24</v>
      </c>
    </row>
    <row r="11" spans="1:8" ht="24" customHeight="1">
      <c r="A11" s="23" t="s">
        <v>25</v>
      </c>
      <c r="B11" s="20"/>
      <c r="C11" s="20"/>
      <c r="D11" s="20"/>
      <c r="E11" s="20"/>
      <c r="F11" s="20"/>
      <c r="G11" s="20"/>
      <c r="H11" s="20"/>
    </row>
    <row r="12" spans="1:8" ht="19.95" customHeight="1">
      <c r="A12" s="4" t="s">
        <v>26</v>
      </c>
      <c r="B12" s="5" t="s">
        <v>17</v>
      </c>
      <c r="C12" s="6">
        <v>268</v>
      </c>
      <c r="D12" s="6">
        <v>2.5</v>
      </c>
      <c r="E12" s="6">
        <v>0.33300000000000002</v>
      </c>
      <c r="F12" s="7">
        <f>C12*D12</f>
        <v>670</v>
      </c>
      <c r="G12" s="8" t="s">
        <v>18</v>
      </c>
      <c r="H12" s="9" t="s">
        <v>27</v>
      </c>
    </row>
    <row r="13" spans="1:8" ht="19.95" customHeight="1">
      <c r="A13" s="4" t="s">
        <v>28</v>
      </c>
      <c r="B13" s="5" t="s">
        <v>21</v>
      </c>
      <c r="C13" s="6">
        <v>268</v>
      </c>
      <c r="D13" s="6">
        <v>2</v>
      </c>
      <c r="E13" s="6">
        <v>1</v>
      </c>
      <c r="F13" s="8" t="s">
        <v>18</v>
      </c>
      <c r="G13" s="7">
        <f>C13*D13*E13</f>
        <v>536</v>
      </c>
      <c r="H13" s="9" t="s">
        <v>29</v>
      </c>
    </row>
    <row r="14" spans="1:8" ht="19.95" customHeight="1">
      <c r="A14" s="4" t="s">
        <v>30</v>
      </c>
      <c r="B14" s="5" t="s">
        <v>21</v>
      </c>
      <c r="C14" s="6">
        <v>252</v>
      </c>
      <c r="D14" s="6">
        <v>1.5</v>
      </c>
      <c r="E14" s="6">
        <v>2</v>
      </c>
      <c r="F14" s="8" t="s">
        <v>18</v>
      </c>
      <c r="G14" s="7">
        <f>C14*D14*E14</f>
        <v>756</v>
      </c>
      <c r="H14" s="9" t="s">
        <v>31</v>
      </c>
    </row>
    <row r="15" spans="1:8" ht="19.95" customHeight="1">
      <c r="A15" s="4" t="s">
        <v>32</v>
      </c>
      <c r="B15" s="5" t="s">
        <v>17</v>
      </c>
      <c r="C15" s="6">
        <v>295</v>
      </c>
      <c r="D15" s="6">
        <v>2.5</v>
      </c>
      <c r="E15" s="6">
        <v>0.33300000000000002</v>
      </c>
      <c r="F15" s="7">
        <f>C15*D15</f>
        <v>737.5</v>
      </c>
      <c r="G15" s="8" t="s">
        <v>18</v>
      </c>
      <c r="H15" s="9" t="s">
        <v>33</v>
      </c>
    </row>
    <row r="16" spans="1:8" ht="19.95" customHeight="1">
      <c r="A16" s="4" t="s">
        <v>34</v>
      </c>
      <c r="B16" s="5" t="s">
        <v>21</v>
      </c>
      <c r="C16" s="6">
        <v>295</v>
      </c>
      <c r="D16" s="6">
        <v>2</v>
      </c>
      <c r="E16" s="6">
        <v>1</v>
      </c>
      <c r="F16" s="8" t="s">
        <v>18</v>
      </c>
      <c r="G16" s="7">
        <f>C16*D16*E16</f>
        <v>590</v>
      </c>
      <c r="H16" s="9" t="s">
        <v>35</v>
      </c>
    </row>
    <row r="17" spans="1:8" ht="19.95" customHeight="1">
      <c r="A17" s="4" t="s">
        <v>36</v>
      </c>
      <c r="B17" s="5" t="s">
        <v>21</v>
      </c>
      <c r="C17" s="6">
        <v>101</v>
      </c>
      <c r="D17" s="6">
        <v>1.5</v>
      </c>
      <c r="E17" s="6">
        <v>2</v>
      </c>
      <c r="F17" s="8" t="s">
        <v>18</v>
      </c>
      <c r="G17" s="7">
        <f>C17*D17*E17</f>
        <v>303</v>
      </c>
      <c r="H17" s="9" t="s">
        <v>37</v>
      </c>
    </row>
    <row r="18" spans="1:8" ht="22.05" customHeight="1">
      <c r="A18" s="27" t="s">
        <v>38</v>
      </c>
      <c r="B18" s="22"/>
      <c r="C18" s="22"/>
      <c r="D18" s="22"/>
      <c r="E18" s="22"/>
      <c r="F18" s="10">
        <f>+F8+F12+F15</f>
        <v>1786.3400000000001</v>
      </c>
      <c r="G18" s="11" t="s">
        <v>39</v>
      </c>
      <c r="H18" s="12" t="s">
        <v>40</v>
      </c>
    </row>
    <row r="19" spans="1:8" ht="22.05" customHeight="1">
      <c r="A19" s="27" t="s">
        <v>41</v>
      </c>
      <c r="B19" s="22"/>
      <c r="C19" s="22"/>
      <c r="D19" s="22"/>
      <c r="E19" s="22"/>
      <c r="F19" s="11" t="s">
        <v>42</v>
      </c>
      <c r="G19" s="10">
        <f>+G9+G10+G13+G14+G16+G17</f>
        <v>2746.84</v>
      </c>
      <c r="H19" s="12" t="s">
        <v>43</v>
      </c>
    </row>
    <row r="20" spans="1:8" ht="15">
      <c r="B20" s="35" t="s">
        <v>74</v>
      </c>
    </row>
    <row r="21" spans="1:8" ht="25.95" customHeight="1">
      <c r="A21" s="28" t="s">
        <v>44</v>
      </c>
      <c r="B21" s="25"/>
      <c r="C21" s="25"/>
      <c r="D21" s="25"/>
      <c r="E21" s="25"/>
      <c r="F21" s="25"/>
      <c r="G21" s="25"/>
      <c r="H21" s="25"/>
    </row>
    <row r="22" spans="1:8" ht="28.05" customHeight="1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13</v>
      </c>
      <c r="H22" s="3" t="s">
        <v>14</v>
      </c>
    </row>
    <row r="23" spans="1:8" ht="24" customHeight="1">
      <c r="A23" s="23" t="s">
        <v>45</v>
      </c>
      <c r="B23" s="20"/>
      <c r="C23" s="20"/>
      <c r="D23" s="20"/>
      <c r="E23" s="20"/>
      <c r="F23" s="20"/>
      <c r="G23" s="20"/>
      <c r="H23" s="20"/>
    </row>
    <row r="24" spans="1:8" ht="19.95" customHeight="1">
      <c r="A24" s="4" t="s">
        <v>46</v>
      </c>
      <c r="B24" s="5" t="s">
        <v>17</v>
      </c>
      <c r="C24" s="7">
        <v>1000</v>
      </c>
      <c r="D24" s="6">
        <v>2.5</v>
      </c>
      <c r="E24" s="6">
        <v>0.33300000000000002</v>
      </c>
      <c r="F24" s="7">
        <f>C24*D24</f>
        <v>2500</v>
      </c>
      <c r="G24" s="8" t="s">
        <v>18</v>
      </c>
      <c r="H24" s="9" t="s">
        <v>47</v>
      </c>
    </row>
    <row r="25" spans="1:8" ht="19.95" customHeight="1">
      <c r="A25" s="4" t="s">
        <v>48</v>
      </c>
      <c r="B25" s="5" t="s">
        <v>49</v>
      </c>
      <c r="C25" s="7">
        <v>1000</v>
      </c>
      <c r="D25" s="6">
        <v>2</v>
      </c>
      <c r="E25" s="6">
        <v>1.5</v>
      </c>
      <c r="F25" s="8" t="s">
        <v>18</v>
      </c>
      <c r="G25" s="7">
        <f>C25*D25*E25</f>
        <v>3000</v>
      </c>
      <c r="H25" s="9" t="s">
        <v>50</v>
      </c>
    </row>
    <row r="26" spans="1:8" ht="19.95" customHeight="1">
      <c r="A26" s="4" t="s">
        <v>51</v>
      </c>
      <c r="B26" s="5" t="s">
        <v>49</v>
      </c>
      <c r="C26" s="7">
        <v>1000</v>
      </c>
      <c r="D26" s="6">
        <v>1.5</v>
      </c>
      <c r="E26" s="6">
        <v>1.5</v>
      </c>
      <c r="F26" s="8" t="s">
        <v>18</v>
      </c>
      <c r="G26" s="7">
        <f>C26*D26*E26</f>
        <v>2250</v>
      </c>
      <c r="H26" s="9" t="s">
        <v>52</v>
      </c>
    </row>
    <row r="27" spans="1:8" ht="22.05" customHeight="1">
      <c r="A27" s="27" t="s">
        <v>53</v>
      </c>
      <c r="B27" s="22"/>
      <c r="C27" s="22"/>
      <c r="D27" s="22"/>
      <c r="E27" s="22"/>
      <c r="F27" s="10">
        <f>+F24</f>
        <v>2500</v>
      </c>
      <c r="G27" s="11" t="s">
        <v>39</v>
      </c>
      <c r="H27" s="12" t="s">
        <v>54</v>
      </c>
    </row>
    <row r="28" spans="1:8" ht="22.05" customHeight="1">
      <c r="A28" s="27" t="s">
        <v>55</v>
      </c>
      <c r="B28" s="22"/>
      <c r="C28" s="22"/>
      <c r="D28" s="22"/>
      <c r="E28" s="22"/>
      <c r="F28" s="11" t="s">
        <v>42</v>
      </c>
      <c r="G28" s="10">
        <f>+G25+G26</f>
        <v>5250</v>
      </c>
      <c r="H28" s="12" t="s">
        <v>56</v>
      </c>
    </row>
    <row r="30" spans="1:8" ht="25.95" customHeight="1">
      <c r="A30" s="19" t="s">
        <v>57</v>
      </c>
      <c r="B30" s="20"/>
      <c r="C30" s="20"/>
      <c r="D30" s="20"/>
      <c r="E30" s="20"/>
      <c r="F30" s="20"/>
      <c r="G30" s="20"/>
      <c r="H30" s="20"/>
    </row>
    <row r="31" spans="1:8" ht="24" customHeight="1">
      <c r="A31" s="32" t="s">
        <v>58</v>
      </c>
      <c r="B31" s="33"/>
      <c r="C31" s="33"/>
      <c r="D31" s="33"/>
      <c r="E31" s="33"/>
      <c r="F31" s="13">
        <f>F18+F27</f>
        <v>4286.34</v>
      </c>
      <c r="G31" s="14" t="s">
        <v>39</v>
      </c>
      <c r="H31" s="15" t="s">
        <v>59</v>
      </c>
    </row>
    <row r="32" spans="1:8" ht="24" customHeight="1">
      <c r="A32" s="29" t="s">
        <v>60</v>
      </c>
      <c r="B32" s="30"/>
      <c r="C32" s="30"/>
      <c r="D32" s="30"/>
      <c r="E32" s="30"/>
      <c r="F32" s="16" t="s">
        <v>42</v>
      </c>
      <c r="G32" s="17">
        <f>G19+G28</f>
        <v>7996.84</v>
      </c>
      <c r="H32" s="18" t="s">
        <v>61</v>
      </c>
    </row>
    <row r="35" spans="1:8" ht="24" customHeight="1">
      <c r="A35" s="31" t="s">
        <v>62</v>
      </c>
      <c r="B35" s="20"/>
      <c r="C35" s="20"/>
      <c r="D35" s="20"/>
      <c r="E35" s="20"/>
      <c r="F35" s="20"/>
      <c r="G35" s="20"/>
      <c r="H35" s="20"/>
    </row>
    <row r="36" spans="1:8" ht="19.95" customHeight="1">
      <c r="A36" s="4" t="s">
        <v>63</v>
      </c>
      <c r="B36" s="4" t="s">
        <v>64</v>
      </c>
      <c r="C36" s="4" t="s">
        <v>65</v>
      </c>
      <c r="D36" s="4" t="s">
        <v>66</v>
      </c>
      <c r="E36" s="34" t="s">
        <v>67</v>
      </c>
      <c r="F36" s="20"/>
      <c r="G36" s="20"/>
      <c r="H36" s="20"/>
    </row>
    <row r="37" spans="1:8" ht="19.95" customHeight="1">
      <c r="A37" s="5" t="s">
        <v>68</v>
      </c>
      <c r="B37" s="6">
        <v>448.7</v>
      </c>
      <c r="C37" s="6" t="str">
        <f>G8</f>
        <v>-</v>
      </c>
      <c r="D37" s="6" t="e">
        <f>B37-C37</f>
        <v>#VALUE!</v>
      </c>
      <c r="E37" s="26" t="s">
        <v>69</v>
      </c>
      <c r="F37" s="26"/>
      <c r="G37" s="26"/>
      <c r="H37" s="26"/>
    </row>
    <row r="38" spans="1:8" ht="19.95" customHeight="1">
      <c r="A38" s="5" t="s">
        <v>70</v>
      </c>
      <c r="B38" s="6">
        <v>1785.84</v>
      </c>
      <c r="C38" s="6">
        <f>F18</f>
        <v>1786.3400000000001</v>
      </c>
      <c r="D38" s="6">
        <f>B38-C38</f>
        <v>-0.50000000000022737</v>
      </c>
      <c r="E38" s="26" t="s">
        <v>71</v>
      </c>
      <c r="F38" s="26"/>
      <c r="G38" s="26"/>
      <c r="H38" s="26"/>
    </row>
  </sheetData>
  <mergeCells count="21">
    <mergeCell ref="E38:H38"/>
    <mergeCell ref="A32:E32"/>
    <mergeCell ref="A5:H5"/>
    <mergeCell ref="A23:H23"/>
    <mergeCell ref="A35:H35"/>
    <mergeCell ref="A28:E28"/>
    <mergeCell ref="A19:E19"/>
    <mergeCell ref="A31:E31"/>
    <mergeCell ref="E36:H36"/>
    <mergeCell ref="A30:H30"/>
    <mergeCell ref="B3:C3"/>
    <mergeCell ref="A11:H11"/>
    <mergeCell ref="A1:H1"/>
    <mergeCell ref="E37:H37"/>
    <mergeCell ref="B2:C2"/>
    <mergeCell ref="E3:H3"/>
    <mergeCell ref="A7:H7"/>
    <mergeCell ref="A18:E18"/>
    <mergeCell ref="A27:E27"/>
    <mergeCell ref="A21:H21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 Wall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2026-07-21T16:24:10Z</dcterms:created>
  <dcterms:modified xsi:type="dcterms:W3CDTF">2026-07-21T16:28:28Z</dcterms:modified>
</cp:coreProperties>
</file>