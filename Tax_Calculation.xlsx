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 15 Aspire\Desktop\another\"/>
    </mc:Choice>
  </mc:AlternateContent>
  <xr:revisionPtr revIDLastSave="0" documentId="11_F3B1DB47944EF6CE651D10B45A5DCE3A67C2DA0C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x 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1" l="1"/>
  <c r="L20" i="1" s="1"/>
  <c r="L21" i="1" s="1"/>
  <c r="K16" i="1"/>
  <c r="K20" i="1" s="1"/>
  <c r="K21" i="1" s="1"/>
  <c r="J16" i="1"/>
  <c r="J20" i="1" s="1"/>
  <c r="J21" i="1" s="1"/>
  <c r="I16" i="1"/>
  <c r="I20" i="1" s="1"/>
  <c r="I21" i="1" s="1"/>
  <c r="H16" i="1"/>
  <c r="H18" i="1" s="1"/>
  <c r="G16" i="1"/>
  <c r="G20" i="1" s="1"/>
  <c r="G21" i="1" s="1"/>
  <c r="F16" i="1"/>
  <c r="F18" i="1" s="1"/>
  <c r="E16" i="1"/>
  <c r="E20" i="1" s="1"/>
  <c r="E21" i="1" s="1"/>
  <c r="D16" i="1"/>
  <c r="D20" i="1" s="1"/>
  <c r="D21" i="1" s="1"/>
  <c r="C16" i="1"/>
  <c r="C20" i="1" s="1"/>
  <c r="C21" i="1" s="1"/>
  <c r="C14" i="1"/>
  <c r="C13" i="1"/>
  <c r="Z11" i="1"/>
  <c r="Z12" i="1" s="1"/>
  <c r="Z14" i="1" s="1"/>
  <c r="Z16" i="1" s="1"/>
  <c r="Y11" i="1"/>
  <c r="Y12" i="1" s="1"/>
  <c r="Y14" i="1" s="1"/>
  <c r="Y16" i="1" s="1"/>
  <c r="X11" i="1"/>
  <c r="X12" i="1" s="1"/>
  <c r="X14" i="1" s="1"/>
  <c r="X16" i="1" s="1"/>
  <c r="W11" i="1"/>
  <c r="W12" i="1" s="1"/>
  <c r="W14" i="1" s="1"/>
  <c r="W16" i="1" s="1"/>
  <c r="V11" i="1"/>
  <c r="V12" i="1" s="1"/>
  <c r="V14" i="1" s="1"/>
  <c r="V16" i="1" s="1"/>
  <c r="U11" i="1"/>
  <c r="U12" i="1" s="1"/>
  <c r="U14" i="1" s="1"/>
  <c r="U16" i="1" s="1"/>
  <c r="T11" i="1"/>
  <c r="T12" i="1" s="1"/>
  <c r="T14" i="1" s="1"/>
  <c r="T16" i="1" s="1"/>
  <c r="S11" i="1"/>
  <c r="S12" i="1" s="1"/>
  <c r="S14" i="1" s="1"/>
  <c r="S16" i="1" s="1"/>
  <c r="R11" i="1"/>
  <c r="R12" i="1" s="1"/>
  <c r="R14" i="1" s="1"/>
  <c r="R16" i="1" s="1"/>
  <c r="Q11" i="1"/>
  <c r="Q12" i="1" s="1"/>
  <c r="Q14" i="1" s="1"/>
  <c r="Q16" i="1" s="1"/>
  <c r="P11" i="1"/>
  <c r="P12" i="1" s="1"/>
  <c r="P14" i="1" s="1"/>
  <c r="P16" i="1" s="1"/>
  <c r="O11" i="1"/>
  <c r="O12" i="1" s="1"/>
  <c r="O14" i="1" s="1"/>
  <c r="O16" i="1" s="1"/>
  <c r="N11" i="1"/>
  <c r="N12" i="1" s="1"/>
  <c r="N14" i="1" s="1"/>
  <c r="N16" i="1" s="1"/>
  <c r="M11" i="1"/>
  <c r="M12" i="1" s="1"/>
  <c r="M14" i="1" s="1"/>
  <c r="M16" i="1" s="1"/>
  <c r="L11" i="1"/>
  <c r="L12" i="1" s="1"/>
  <c r="L14" i="1" s="1"/>
  <c r="K11" i="1"/>
  <c r="K12" i="1" s="1"/>
  <c r="K14" i="1" s="1"/>
  <c r="J11" i="1"/>
  <c r="J12" i="1" s="1"/>
  <c r="J14" i="1" s="1"/>
  <c r="I11" i="1"/>
  <c r="I12" i="1" s="1"/>
  <c r="I14" i="1" s="1"/>
  <c r="H11" i="1"/>
  <c r="H12" i="1" s="1"/>
  <c r="H14" i="1" s="1"/>
  <c r="G11" i="1"/>
  <c r="G12" i="1" s="1"/>
  <c r="G14" i="1" s="1"/>
  <c r="F11" i="1"/>
  <c r="F12" i="1" s="1"/>
  <c r="F14" i="1" s="1"/>
  <c r="E11" i="1"/>
  <c r="E12" i="1" s="1"/>
  <c r="E14" i="1" s="1"/>
  <c r="D11" i="1"/>
  <c r="D12" i="1" s="1"/>
  <c r="D14" i="1" s="1"/>
  <c r="C11" i="1"/>
  <c r="C12" i="1" s="1"/>
  <c r="S20" i="1" l="1"/>
  <c r="S21" i="1" s="1"/>
  <c r="S18" i="1"/>
  <c r="Q20" i="1"/>
  <c r="Q21" i="1" s="1"/>
  <c r="Q18" i="1"/>
  <c r="T20" i="1"/>
  <c r="T21" i="1" s="1"/>
  <c r="T18" i="1"/>
  <c r="V20" i="1"/>
  <c r="V21" i="1" s="1"/>
  <c r="V18" i="1"/>
  <c r="P20" i="1"/>
  <c r="P21" i="1" s="1"/>
  <c r="P18" i="1"/>
  <c r="U20" i="1"/>
  <c r="U21" i="1" s="1"/>
  <c r="U18" i="1"/>
  <c r="W20" i="1"/>
  <c r="W21" i="1" s="1"/>
  <c r="W18" i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R20" i="1"/>
  <c r="R21" i="1" s="1"/>
  <c r="R18" i="1"/>
  <c r="X20" i="1"/>
  <c r="X21" i="1" s="1"/>
  <c r="X18" i="1"/>
  <c r="Y20" i="1"/>
  <c r="Y21" i="1" s="1"/>
  <c r="Y18" i="1"/>
  <c r="O18" i="1"/>
  <c r="O20" i="1"/>
  <c r="O21" i="1" s="1"/>
  <c r="M20" i="1"/>
  <c r="M21" i="1" s="1"/>
  <c r="M18" i="1"/>
  <c r="N20" i="1"/>
  <c r="N21" i="1" s="1"/>
  <c r="N18" i="1"/>
  <c r="Z20" i="1"/>
  <c r="Z21" i="1" s="1"/>
  <c r="Z18" i="1"/>
  <c r="D18" i="1"/>
  <c r="G18" i="1"/>
  <c r="I18" i="1"/>
  <c r="H20" i="1"/>
  <c r="H21" i="1" s="1"/>
  <c r="J18" i="1"/>
  <c r="F20" i="1"/>
  <c r="F21" i="1" s="1"/>
  <c r="K18" i="1"/>
  <c r="E18" i="1"/>
  <c r="L18" i="1"/>
  <c r="C18" i="1"/>
</calcChain>
</file>

<file path=xl/sharedStrings.xml><?xml version="1.0" encoding="utf-8"?>
<sst xmlns="http://schemas.openxmlformats.org/spreadsheetml/2006/main" count="46" uniqueCount="46">
  <si>
    <t>All Figures in Rs. Crores</t>
  </si>
  <si>
    <t>Year</t>
  </si>
  <si>
    <t>FY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</si>
  <si>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</si>
  <si>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</si>
  <si>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</si>
  <si>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</si>
  <si>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</si>
  <si>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</si>
  <si>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</si>
  <si>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</si>
  <si>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</si>
  <si>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</si>
  <si>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</si>
  <si>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</si>
  <si>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</si>
  <si>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</si>
  <si>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</si>
  <si>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</si>
  <si>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</si>
  <si>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</si>
  <si>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</si>
  <si>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</si>
  <si>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</si>
  <si>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2046-47</t>
  </si>
  <si>
    <t>2047-48</t>
  </si>
  <si>
    <t>2048-49</t>
  </si>
  <si>
    <t>Total Revenue</t>
  </si>
  <si>
    <t>GBI</t>
  </si>
  <si>
    <t>REC</t>
  </si>
  <si>
    <t>Less: Admissible Expenditure</t>
  </si>
  <si>
    <t>Interest On Loan</t>
  </si>
  <si>
    <t>O&amp;M Expenses</t>
  </si>
  <si>
    <t>Depreciation as per I-T Act</t>
  </si>
  <si>
    <t>WDV</t>
  </si>
  <si>
    <t>Total Expenditure</t>
  </si>
  <si>
    <t>Profit due to sale of electricity</t>
  </si>
  <si>
    <t>Accumulated Profit/Loss</t>
  </si>
  <si>
    <t>Profit for Tax</t>
  </si>
  <si>
    <t>80 IA</t>
  </si>
  <si>
    <t>Corporate Tax</t>
  </si>
  <si>
    <t>MAT</t>
  </si>
  <si>
    <t>MAT Credit Year Wise</t>
  </si>
  <si>
    <t>MAT Credit Usage</t>
  </si>
  <si>
    <t>Tax Payable Without MAT Credit</t>
  </si>
  <si>
    <t>Tax Payable After MAT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</si>
</sst>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2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topLeftCell="G1" workbookViewId="0"/>
  </sheetViews>
  <sheetFormatPr defaultRowHeight="14.4"/>
  <cols>
    <col min="1" max="1" width="40" customWidth="1"/>
    <col min="2" max="2" width="12" customWidth="1"/>
    <col min="3" max="26" width="10" customWidth="1"/>
  </cols>
  <sheetData>
    <row r="1" spans="1:26" ht="19.95" customHeight="1">
      <c r="A1" s="1" t="s">
        <v>0</v>
      </c>
    </row>
    <row r="2" spans="1:26" ht="19.95" customHeight="1">
      <c r="A2" s="2" t="s">
        <v>1</v>
      </c>
      <c r="B2" s="3"/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</row>
    <row r="3" spans="1:26" ht="19.95" customHeight="1">
      <c r="A3" s="2" t="s">
        <v>2</v>
      </c>
      <c r="B3" s="3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</row>
    <row r="4" spans="1:26" ht="19.95" customHeight="1">
      <c r="A4" s="5" t="s">
        <v>27</v>
      </c>
      <c r="B4" s="6"/>
      <c r="C4" s="7">
        <v>83.84</v>
      </c>
      <c r="D4" s="7">
        <v>142.69</v>
      </c>
      <c r="E4" s="7">
        <v>142.69</v>
      </c>
      <c r="F4" s="7">
        <v>142.69</v>
      </c>
      <c r="G4" s="7">
        <v>117.69</v>
      </c>
      <c r="H4" s="7">
        <v>117.69</v>
      </c>
      <c r="I4" s="7">
        <v>117.69</v>
      </c>
      <c r="J4" s="7">
        <v>117.69</v>
      </c>
      <c r="K4" s="7">
        <v>117.69</v>
      </c>
      <c r="L4" s="7">
        <v>117.69</v>
      </c>
      <c r="M4" s="7">
        <v>117.69</v>
      </c>
      <c r="N4" s="7">
        <v>117.69</v>
      </c>
      <c r="O4" s="7">
        <v>117.69</v>
      </c>
      <c r="P4" s="7">
        <v>117.69</v>
      </c>
      <c r="Q4" s="7">
        <v>117.69</v>
      </c>
      <c r="R4" s="7">
        <v>117.69</v>
      </c>
      <c r="S4" s="7">
        <v>117.69</v>
      </c>
      <c r="T4" s="7">
        <v>117.69</v>
      </c>
      <c r="U4" s="7">
        <v>117.69</v>
      </c>
      <c r="V4" s="7">
        <v>117.69</v>
      </c>
      <c r="W4" s="7">
        <v>117.69</v>
      </c>
      <c r="X4" s="7">
        <v>117.69</v>
      </c>
      <c r="Y4" s="7">
        <v>117.69</v>
      </c>
      <c r="Z4" s="7">
        <v>117.69</v>
      </c>
    </row>
    <row r="5" spans="1:26" ht="19.95" customHeight="1">
      <c r="A5" s="5" t="s">
        <v>28</v>
      </c>
      <c r="B5" s="6"/>
      <c r="C5" s="7">
        <v>0.25</v>
      </c>
      <c r="D5" s="7">
        <v>0.25</v>
      </c>
      <c r="E5" s="7">
        <v>0.25</v>
      </c>
      <c r="F5" s="7">
        <v>0.25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</row>
    <row r="6" spans="1:26" ht="19.95" customHeight="1">
      <c r="A6" s="5" t="s">
        <v>29</v>
      </c>
      <c r="B6" s="6"/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</row>
    <row r="7" spans="1:26" ht="19.95" customHeight="1">
      <c r="A7" s="2" t="s">
        <v>30</v>
      </c>
      <c r="B7" s="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9.95" customHeight="1">
      <c r="A8" s="5" t="s">
        <v>31</v>
      </c>
      <c r="B8" s="6"/>
      <c r="C8" s="7">
        <v>26.82</v>
      </c>
      <c r="D8" s="7">
        <v>52.29</v>
      </c>
      <c r="E8" s="7">
        <v>48.72</v>
      </c>
      <c r="F8" s="7">
        <v>45.14</v>
      </c>
      <c r="G8" s="7">
        <v>41.57</v>
      </c>
      <c r="H8" s="7">
        <v>37.99</v>
      </c>
      <c r="I8" s="7">
        <v>34.409999999999997</v>
      </c>
      <c r="J8" s="7">
        <v>30.84</v>
      </c>
      <c r="K8" s="7">
        <v>27.26</v>
      </c>
      <c r="L8" s="7">
        <v>23.69</v>
      </c>
      <c r="M8" s="7">
        <v>20.11</v>
      </c>
      <c r="N8" s="7">
        <v>16.54</v>
      </c>
      <c r="O8" s="7">
        <v>12.96</v>
      </c>
      <c r="P8" s="7">
        <v>9.39</v>
      </c>
      <c r="Q8" s="7">
        <v>5.8</v>
      </c>
      <c r="R8" s="7">
        <v>2.2200000000000002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</row>
    <row r="9" spans="1:26" ht="19.95" customHeight="1">
      <c r="A9" s="5" t="s">
        <v>32</v>
      </c>
      <c r="B9" s="6"/>
      <c r="C9" s="7">
        <v>0</v>
      </c>
      <c r="D9" s="7">
        <v>0</v>
      </c>
      <c r="E9" s="7">
        <v>14</v>
      </c>
      <c r="F9" s="7">
        <v>14.7</v>
      </c>
      <c r="G9" s="7">
        <v>15.44</v>
      </c>
      <c r="H9" s="7">
        <v>16.21</v>
      </c>
      <c r="I9" s="7">
        <v>17.02</v>
      </c>
      <c r="J9" s="7">
        <v>17.87</v>
      </c>
      <c r="K9" s="7">
        <v>18.760000000000002</v>
      </c>
      <c r="L9" s="7">
        <v>19.7</v>
      </c>
      <c r="M9" s="7">
        <v>20.68</v>
      </c>
      <c r="N9" s="7">
        <v>21.72</v>
      </c>
      <c r="O9" s="7">
        <v>22.8</v>
      </c>
      <c r="P9" s="7">
        <v>23.94</v>
      </c>
      <c r="Q9" s="7">
        <v>25.14</v>
      </c>
      <c r="R9" s="7">
        <v>26.4</v>
      </c>
      <c r="S9" s="7">
        <v>27.72</v>
      </c>
      <c r="T9" s="7">
        <v>29.1</v>
      </c>
      <c r="U9" s="7">
        <v>30.56</v>
      </c>
      <c r="V9" s="7">
        <v>32.090000000000003</v>
      </c>
      <c r="W9" s="7">
        <v>33.69</v>
      </c>
      <c r="X9" s="7">
        <v>35.380000000000003</v>
      </c>
      <c r="Y9" s="7">
        <v>37.15</v>
      </c>
      <c r="Z9" s="7">
        <v>39</v>
      </c>
    </row>
    <row r="10" spans="1:26" ht="19.95" customHeight="1">
      <c r="A10" s="5" t="s">
        <v>33</v>
      </c>
      <c r="B10" s="9" t="s">
        <v>34</v>
      </c>
      <c r="C10" s="7">
        <v>0.31</v>
      </c>
      <c r="D10" s="7">
        <v>0.87</v>
      </c>
      <c r="E10" s="7">
        <v>0.74</v>
      </c>
      <c r="F10" s="7">
        <v>0.63</v>
      </c>
      <c r="G10" s="7">
        <v>0.54</v>
      </c>
      <c r="H10" s="7">
        <v>0.47</v>
      </c>
      <c r="I10" s="7">
        <v>0.4</v>
      </c>
      <c r="J10" s="7">
        <v>0.34</v>
      </c>
      <c r="K10" s="7">
        <v>0.28999999999999998</v>
      </c>
      <c r="L10" s="7">
        <v>0.25</v>
      </c>
      <c r="M10" s="7">
        <v>0.22</v>
      </c>
      <c r="N10" s="7">
        <v>0.19</v>
      </c>
      <c r="O10" s="7">
        <v>0.16</v>
      </c>
      <c r="P10" s="7">
        <v>0.14000000000000001</v>
      </c>
      <c r="Q10" s="7">
        <v>0.12</v>
      </c>
      <c r="R10" s="7">
        <v>0.1</v>
      </c>
      <c r="S10" s="7">
        <v>0.09</v>
      </c>
      <c r="T10" s="7">
        <v>0.08</v>
      </c>
      <c r="U10" s="7">
        <v>7.0000000000000007E-2</v>
      </c>
      <c r="V10" s="7">
        <v>0.06</v>
      </c>
      <c r="W10" s="7">
        <v>0.05</v>
      </c>
      <c r="X10" s="7">
        <v>0.04</v>
      </c>
      <c r="Y10" s="7">
        <v>0.04</v>
      </c>
      <c r="Z10" s="7">
        <v>0.03</v>
      </c>
    </row>
    <row r="11" spans="1:26" ht="19.95" customHeight="1">
      <c r="A11" s="2" t="s">
        <v>35</v>
      </c>
      <c r="B11" s="6"/>
      <c r="C11" s="10">
        <f t="shared" ref="C11:Z11" si="0">SUM(C8:C10)</f>
        <v>27.13</v>
      </c>
      <c r="D11" s="10">
        <f t="shared" si="0"/>
        <v>53.16</v>
      </c>
      <c r="E11" s="10">
        <f t="shared" si="0"/>
        <v>63.46</v>
      </c>
      <c r="F11" s="10">
        <f t="shared" si="0"/>
        <v>60.470000000000006</v>
      </c>
      <c r="G11" s="10">
        <f t="shared" si="0"/>
        <v>57.55</v>
      </c>
      <c r="H11" s="10">
        <f t="shared" si="0"/>
        <v>54.67</v>
      </c>
      <c r="I11" s="10">
        <f t="shared" si="0"/>
        <v>51.829999999999991</v>
      </c>
      <c r="J11" s="10">
        <f t="shared" si="0"/>
        <v>49.050000000000004</v>
      </c>
      <c r="K11" s="10">
        <f t="shared" si="0"/>
        <v>46.31</v>
      </c>
      <c r="L11" s="10">
        <f t="shared" si="0"/>
        <v>43.64</v>
      </c>
      <c r="M11" s="10">
        <f t="shared" si="0"/>
        <v>41.01</v>
      </c>
      <c r="N11" s="10">
        <f t="shared" si="0"/>
        <v>38.449999999999996</v>
      </c>
      <c r="O11" s="10">
        <f t="shared" si="0"/>
        <v>35.92</v>
      </c>
      <c r="P11" s="10">
        <f t="shared" si="0"/>
        <v>33.47</v>
      </c>
      <c r="Q11" s="10">
        <f t="shared" si="0"/>
        <v>31.060000000000002</v>
      </c>
      <c r="R11" s="10">
        <f t="shared" si="0"/>
        <v>28.72</v>
      </c>
      <c r="S11" s="10">
        <f t="shared" si="0"/>
        <v>27.81</v>
      </c>
      <c r="T11" s="10">
        <f t="shared" si="0"/>
        <v>29.18</v>
      </c>
      <c r="U11" s="10">
        <f t="shared" si="0"/>
        <v>30.63</v>
      </c>
      <c r="V11" s="10">
        <f t="shared" si="0"/>
        <v>32.150000000000006</v>
      </c>
      <c r="W11" s="10">
        <f t="shared" si="0"/>
        <v>33.739999999999995</v>
      </c>
      <c r="X11" s="10">
        <f t="shared" si="0"/>
        <v>35.42</v>
      </c>
      <c r="Y11" s="10">
        <f t="shared" si="0"/>
        <v>37.19</v>
      </c>
      <c r="Z11" s="10">
        <f t="shared" si="0"/>
        <v>39.03</v>
      </c>
    </row>
    <row r="12" spans="1:26" ht="19.95" customHeight="1">
      <c r="A12" s="2" t="s">
        <v>36</v>
      </c>
      <c r="B12" s="6"/>
      <c r="C12" s="10">
        <f t="shared" ref="C12:Z12" si="1">C4+C5+C6-C11</f>
        <v>56.960000000000008</v>
      </c>
      <c r="D12" s="10">
        <f t="shared" si="1"/>
        <v>89.78</v>
      </c>
      <c r="E12" s="10">
        <f t="shared" si="1"/>
        <v>79.47999999999999</v>
      </c>
      <c r="F12" s="10">
        <f t="shared" si="1"/>
        <v>82.47</v>
      </c>
      <c r="G12" s="10">
        <f t="shared" si="1"/>
        <v>60.14</v>
      </c>
      <c r="H12" s="10">
        <f t="shared" si="1"/>
        <v>63.019999999999996</v>
      </c>
      <c r="I12" s="10">
        <f t="shared" si="1"/>
        <v>65.860000000000014</v>
      </c>
      <c r="J12" s="10">
        <f t="shared" si="1"/>
        <v>68.639999999999986</v>
      </c>
      <c r="K12" s="10">
        <f t="shared" si="1"/>
        <v>71.38</v>
      </c>
      <c r="L12" s="10">
        <f t="shared" si="1"/>
        <v>74.05</v>
      </c>
      <c r="M12" s="10">
        <f t="shared" si="1"/>
        <v>76.680000000000007</v>
      </c>
      <c r="N12" s="10">
        <f t="shared" si="1"/>
        <v>79.240000000000009</v>
      </c>
      <c r="O12" s="10">
        <f t="shared" si="1"/>
        <v>81.77</v>
      </c>
      <c r="P12" s="10">
        <f t="shared" si="1"/>
        <v>84.22</v>
      </c>
      <c r="Q12" s="10">
        <f t="shared" si="1"/>
        <v>86.63</v>
      </c>
      <c r="R12" s="10">
        <f t="shared" si="1"/>
        <v>88.97</v>
      </c>
      <c r="S12" s="10">
        <f t="shared" si="1"/>
        <v>89.88</v>
      </c>
      <c r="T12" s="10">
        <f t="shared" si="1"/>
        <v>88.509999999999991</v>
      </c>
      <c r="U12" s="10">
        <f t="shared" si="1"/>
        <v>87.06</v>
      </c>
      <c r="V12" s="10">
        <f t="shared" si="1"/>
        <v>85.539999999999992</v>
      </c>
      <c r="W12" s="10">
        <f t="shared" si="1"/>
        <v>83.95</v>
      </c>
      <c r="X12" s="10">
        <f t="shared" si="1"/>
        <v>82.27</v>
      </c>
      <c r="Y12" s="10">
        <f t="shared" si="1"/>
        <v>80.5</v>
      </c>
      <c r="Z12" s="10">
        <f t="shared" si="1"/>
        <v>78.66</v>
      </c>
    </row>
    <row r="13" spans="1:26" ht="19.95" customHeight="1">
      <c r="A13" s="2" t="s">
        <v>37</v>
      </c>
      <c r="B13" s="6"/>
      <c r="C13" s="10">
        <f>C14</f>
        <v>55.02</v>
      </c>
      <c r="D13" s="10">
        <f t="shared" ref="D13:Z13" si="2">C13+D14</f>
        <v>144.80000000000001</v>
      </c>
      <c r="E13" s="10">
        <f t="shared" si="2"/>
        <v>224.28</v>
      </c>
      <c r="F13" s="10">
        <f t="shared" si="2"/>
        <v>306.75</v>
      </c>
      <c r="G13" s="10">
        <f t="shared" si="2"/>
        <v>366.89</v>
      </c>
      <c r="H13" s="10">
        <f t="shared" si="2"/>
        <v>429.90999999999997</v>
      </c>
      <c r="I13" s="10">
        <f t="shared" si="2"/>
        <v>495.77</v>
      </c>
      <c r="J13" s="10">
        <f t="shared" si="2"/>
        <v>564.41</v>
      </c>
      <c r="K13" s="10">
        <f t="shared" si="2"/>
        <v>635.79</v>
      </c>
      <c r="L13" s="10">
        <f t="shared" si="2"/>
        <v>709.83999999999992</v>
      </c>
      <c r="M13" s="10">
        <f t="shared" si="2"/>
        <v>786.52</v>
      </c>
      <c r="N13" s="10">
        <f t="shared" si="2"/>
        <v>865.76</v>
      </c>
      <c r="O13" s="10">
        <f t="shared" si="2"/>
        <v>947.53</v>
      </c>
      <c r="P13" s="10">
        <f t="shared" si="2"/>
        <v>1031.75</v>
      </c>
      <c r="Q13" s="10">
        <f t="shared" si="2"/>
        <v>1118.3800000000001</v>
      </c>
      <c r="R13" s="10">
        <f t="shared" si="2"/>
        <v>1207.3500000000001</v>
      </c>
      <c r="S13" s="10">
        <f t="shared" si="2"/>
        <v>1297.23</v>
      </c>
      <c r="T13" s="10">
        <f t="shared" si="2"/>
        <v>1385.74</v>
      </c>
      <c r="U13" s="10">
        <f t="shared" si="2"/>
        <v>1472.8</v>
      </c>
      <c r="V13" s="10">
        <f t="shared" si="2"/>
        <v>1558.34</v>
      </c>
      <c r="W13" s="10">
        <f t="shared" si="2"/>
        <v>1642.29</v>
      </c>
      <c r="X13" s="10">
        <f t="shared" si="2"/>
        <v>1724.56</v>
      </c>
      <c r="Y13" s="10">
        <f t="shared" si="2"/>
        <v>1805.06</v>
      </c>
      <c r="Z13" s="10">
        <f t="shared" si="2"/>
        <v>1883.72</v>
      </c>
    </row>
    <row r="14" spans="1:26" ht="19.95" customHeight="1">
      <c r="A14" s="5" t="s">
        <v>38</v>
      </c>
      <c r="B14" s="6"/>
      <c r="C14" s="7">
        <f t="shared" ref="C14:Z14" si="3">IF(C2=1, 55.02, C12)</f>
        <v>55.02</v>
      </c>
      <c r="D14" s="7">
        <f t="shared" si="3"/>
        <v>89.78</v>
      </c>
      <c r="E14" s="7">
        <f t="shared" si="3"/>
        <v>79.47999999999999</v>
      </c>
      <c r="F14" s="7">
        <f t="shared" si="3"/>
        <v>82.47</v>
      </c>
      <c r="G14" s="7">
        <f t="shared" si="3"/>
        <v>60.14</v>
      </c>
      <c r="H14" s="7">
        <f t="shared" si="3"/>
        <v>63.019999999999996</v>
      </c>
      <c r="I14" s="7">
        <f t="shared" si="3"/>
        <v>65.860000000000014</v>
      </c>
      <c r="J14" s="7">
        <f t="shared" si="3"/>
        <v>68.639999999999986</v>
      </c>
      <c r="K14" s="7">
        <f t="shared" si="3"/>
        <v>71.38</v>
      </c>
      <c r="L14" s="7">
        <f t="shared" si="3"/>
        <v>74.05</v>
      </c>
      <c r="M14" s="7">
        <f t="shared" si="3"/>
        <v>76.680000000000007</v>
      </c>
      <c r="N14" s="7">
        <f t="shared" si="3"/>
        <v>79.240000000000009</v>
      </c>
      <c r="O14" s="7">
        <f t="shared" si="3"/>
        <v>81.77</v>
      </c>
      <c r="P14" s="7">
        <f t="shared" si="3"/>
        <v>84.22</v>
      </c>
      <c r="Q14" s="7">
        <f t="shared" si="3"/>
        <v>86.63</v>
      </c>
      <c r="R14" s="7">
        <f t="shared" si="3"/>
        <v>88.97</v>
      </c>
      <c r="S14" s="7">
        <f t="shared" si="3"/>
        <v>89.88</v>
      </c>
      <c r="T14" s="7">
        <f t="shared" si="3"/>
        <v>88.509999999999991</v>
      </c>
      <c r="U14" s="7">
        <f t="shared" si="3"/>
        <v>87.06</v>
      </c>
      <c r="V14" s="7">
        <f t="shared" si="3"/>
        <v>85.539999999999992</v>
      </c>
      <c r="W14" s="7">
        <f t="shared" si="3"/>
        <v>83.95</v>
      </c>
      <c r="X14" s="7">
        <f t="shared" si="3"/>
        <v>82.27</v>
      </c>
      <c r="Y14" s="7">
        <f t="shared" si="3"/>
        <v>80.5</v>
      </c>
      <c r="Z14" s="7">
        <f t="shared" si="3"/>
        <v>78.66</v>
      </c>
    </row>
    <row r="15" spans="1:26" ht="19.95" customHeight="1">
      <c r="A15" s="5" t="s">
        <v>39</v>
      </c>
      <c r="B15" s="6"/>
      <c r="C15" s="11">
        <v>1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  <c r="I15" s="11">
        <v>1</v>
      </c>
      <c r="J15" s="11">
        <v>1</v>
      </c>
      <c r="K15" s="11">
        <v>1</v>
      </c>
      <c r="L15" s="11">
        <v>1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</row>
    <row r="16" spans="1:26" ht="19.95" customHeight="1">
      <c r="A16" s="5" t="s">
        <v>40</v>
      </c>
      <c r="B16" s="12">
        <v>0.26</v>
      </c>
      <c r="C16" s="7">
        <f>IF(C15=1, 0, ROUND(C14*B16, 2))</f>
        <v>0</v>
      </c>
      <c r="D16" s="7">
        <f>IF(D15=1, 0, ROUND(D14*B16, 2))</f>
        <v>0</v>
      </c>
      <c r="E16" s="7">
        <f>IF(E15=1, 0, ROUND(E14*B16, 2))</f>
        <v>0</v>
      </c>
      <c r="F16" s="7">
        <f>IF(F15=1, 0, ROUND(F14*B16, 2))</f>
        <v>0</v>
      </c>
      <c r="G16" s="7">
        <f>IF(G15=1, 0, ROUND(G14*B16, 2))</f>
        <v>0</v>
      </c>
      <c r="H16" s="7">
        <f>IF(H15=1, 0, ROUND(H14*B16, 2))</f>
        <v>0</v>
      </c>
      <c r="I16" s="7">
        <f>IF(I15=1, 0, ROUND(I14*B16, 2))</f>
        <v>0</v>
      </c>
      <c r="J16" s="7">
        <f>IF(J15=1, 0, ROUND(J14*B16, 2))</f>
        <v>0</v>
      </c>
      <c r="K16" s="7">
        <f>IF(K15=1, 0, ROUND(K14*B16, 2))</f>
        <v>0</v>
      </c>
      <c r="L16" s="7">
        <f>IF(L15=1, 0, ROUND(L14*B16, 2))</f>
        <v>0</v>
      </c>
      <c r="M16" s="7">
        <f>IF(M15=1, 0, ROUND(M14*B16, 2))</f>
        <v>19.940000000000001</v>
      </c>
      <c r="N16" s="7">
        <f>IF(N15=1, 0, ROUND(N14*B16, 2))</f>
        <v>20.6</v>
      </c>
      <c r="O16" s="7">
        <f>IF(O15=1, 0, ROUND(O14*B16, 2))</f>
        <v>21.26</v>
      </c>
      <c r="P16" s="7">
        <f>IF(P15=1, 0, ROUND(P14*B16, 2))</f>
        <v>21.9</v>
      </c>
      <c r="Q16" s="7">
        <f>IF(Q15=1, 0, ROUND(Q14*B16, 2))</f>
        <v>22.52</v>
      </c>
      <c r="R16" s="7">
        <f>IF(R15=1, 0, ROUND(R14*B16, 2))</f>
        <v>23.13</v>
      </c>
      <c r="S16" s="7">
        <f>IF(S15=1, 0, ROUND(S14*B16, 2))</f>
        <v>23.37</v>
      </c>
      <c r="T16" s="7">
        <f>IF(T15=1, 0, ROUND(T14*B16, 2))</f>
        <v>23.01</v>
      </c>
      <c r="U16" s="7">
        <f>IF(U15=1, 0, ROUND(U14*B16, 2))</f>
        <v>22.64</v>
      </c>
      <c r="V16" s="7">
        <f>IF(V15=1, 0, ROUND(V14*B16, 2))</f>
        <v>22.24</v>
      </c>
      <c r="W16" s="7">
        <f>IF(W15=1, 0, ROUND(W14*B16, 2))</f>
        <v>21.83</v>
      </c>
      <c r="X16" s="7">
        <f>IF(X15=1, 0, ROUND(X14*B16, 2))</f>
        <v>21.39</v>
      </c>
      <c r="Y16" s="7">
        <f>IF(Y15=1, 0, ROUND(Y14*B16, 2))</f>
        <v>20.93</v>
      </c>
      <c r="Z16" s="7">
        <f>IF(Z15=1, 0, ROUND(Z14*B16, 2))</f>
        <v>20.45</v>
      </c>
    </row>
    <row r="17" spans="1:26" ht="19.95" customHeight="1">
      <c r="A17" s="5" t="s">
        <v>41</v>
      </c>
      <c r="B17" s="12">
        <v>0.20960000000000001</v>
      </c>
      <c r="C17" s="7">
        <v>6.39</v>
      </c>
      <c r="D17" s="7">
        <v>13.14</v>
      </c>
      <c r="E17" s="7">
        <v>10.95</v>
      </c>
      <c r="F17" s="7">
        <v>11.56</v>
      </c>
      <c r="G17" s="7">
        <v>12.1</v>
      </c>
      <c r="H17" s="7">
        <v>12.69</v>
      </c>
      <c r="I17" s="7">
        <v>13.27</v>
      </c>
      <c r="J17" s="7">
        <v>13.84</v>
      </c>
      <c r="K17" s="7">
        <v>14.4</v>
      </c>
      <c r="L17" s="7">
        <v>14.95</v>
      </c>
      <c r="M17" s="7">
        <v>15.49</v>
      </c>
      <c r="N17" s="7">
        <v>16.03</v>
      </c>
      <c r="O17" s="7">
        <v>16.55</v>
      </c>
      <c r="P17" s="7">
        <v>17.059999999999999</v>
      </c>
      <c r="Q17" s="7">
        <v>17.559999999999999</v>
      </c>
      <c r="R17" s="7">
        <v>18.05</v>
      </c>
      <c r="S17" s="7">
        <v>18.239999999999998</v>
      </c>
      <c r="T17" s="7">
        <v>17.95</v>
      </c>
      <c r="U17" s="7">
        <v>17.64</v>
      </c>
      <c r="V17" s="7">
        <v>17.32</v>
      </c>
      <c r="W17" s="7">
        <v>16.98</v>
      </c>
      <c r="X17" s="7">
        <v>16.63</v>
      </c>
      <c r="Y17" s="7">
        <v>16.25</v>
      </c>
      <c r="Z17" s="7">
        <v>15.87</v>
      </c>
    </row>
    <row r="18" spans="1:26" ht="19.95" customHeight="1">
      <c r="A18" s="5" t="s">
        <v>42</v>
      </c>
      <c r="B18" s="6"/>
      <c r="C18" s="7">
        <f t="shared" ref="C18:Z18" si="4">IF(C16&gt;C17, 0, C17-C16)</f>
        <v>6.39</v>
      </c>
      <c r="D18" s="7">
        <f t="shared" si="4"/>
        <v>13.14</v>
      </c>
      <c r="E18" s="7">
        <f t="shared" si="4"/>
        <v>10.95</v>
      </c>
      <c r="F18" s="7">
        <f t="shared" si="4"/>
        <v>11.56</v>
      </c>
      <c r="G18" s="7">
        <f t="shared" si="4"/>
        <v>12.1</v>
      </c>
      <c r="H18" s="7">
        <f t="shared" si="4"/>
        <v>12.69</v>
      </c>
      <c r="I18" s="7">
        <f t="shared" si="4"/>
        <v>13.27</v>
      </c>
      <c r="J18" s="7">
        <f t="shared" si="4"/>
        <v>13.84</v>
      </c>
      <c r="K18" s="7">
        <f t="shared" si="4"/>
        <v>14.4</v>
      </c>
      <c r="L18" s="7">
        <f t="shared" si="4"/>
        <v>14.95</v>
      </c>
      <c r="M18" s="7">
        <f t="shared" si="4"/>
        <v>0</v>
      </c>
      <c r="N18" s="7">
        <f t="shared" si="4"/>
        <v>0</v>
      </c>
      <c r="O18" s="7">
        <f t="shared" si="4"/>
        <v>0</v>
      </c>
      <c r="P18" s="7">
        <f t="shared" si="4"/>
        <v>0</v>
      </c>
      <c r="Q18" s="7">
        <f t="shared" si="4"/>
        <v>0</v>
      </c>
      <c r="R18" s="7">
        <f t="shared" si="4"/>
        <v>0</v>
      </c>
      <c r="S18" s="7">
        <f t="shared" si="4"/>
        <v>0</v>
      </c>
      <c r="T18" s="7">
        <f t="shared" si="4"/>
        <v>0</v>
      </c>
      <c r="U18" s="7">
        <f t="shared" si="4"/>
        <v>0</v>
      </c>
      <c r="V18" s="7">
        <f t="shared" si="4"/>
        <v>0</v>
      </c>
      <c r="W18" s="7">
        <f t="shared" si="4"/>
        <v>0</v>
      </c>
      <c r="X18" s="7">
        <f t="shared" si="4"/>
        <v>0</v>
      </c>
      <c r="Y18" s="7">
        <f t="shared" si="4"/>
        <v>0</v>
      </c>
      <c r="Z18" s="7">
        <f t="shared" si="4"/>
        <v>0</v>
      </c>
    </row>
    <row r="19" spans="1:26" ht="19.95" customHeight="1">
      <c r="A19" s="5" t="s">
        <v>43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4.4400000000000004</v>
      </c>
      <c r="N19" s="7">
        <v>4.58</v>
      </c>
      <c r="O19" s="7">
        <v>4.71</v>
      </c>
      <c r="P19" s="7">
        <v>4.84</v>
      </c>
      <c r="Q19" s="7">
        <v>4.96</v>
      </c>
      <c r="R19" s="7">
        <v>5.08</v>
      </c>
      <c r="S19" s="7">
        <v>5.13</v>
      </c>
      <c r="T19" s="7">
        <v>1.58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</row>
    <row r="20" spans="1:26" ht="19.95" customHeight="1">
      <c r="A20" s="2" t="s">
        <v>44</v>
      </c>
      <c r="B20" s="6"/>
      <c r="C20" s="10">
        <f t="shared" ref="C20:Z20" si="5">MAX(C16,C17)</f>
        <v>6.39</v>
      </c>
      <c r="D20" s="10">
        <f t="shared" si="5"/>
        <v>13.14</v>
      </c>
      <c r="E20" s="10">
        <f t="shared" si="5"/>
        <v>10.95</v>
      </c>
      <c r="F20" s="10">
        <f t="shared" si="5"/>
        <v>11.56</v>
      </c>
      <c r="G20" s="10">
        <f t="shared" si="5"/>
        <v>12.1</v>
      </c>
      <c r="H20" s="10">
        <f t="shared" si="5"/>
        <v>12.69</v>
      </c>
      <c r="I20" s="10">
        <f t="shared" si="5"/>
        <v>13.27</v>
      </c>
      <c r="J20" s="10">
        <f t="shared" si="5"/>
        <v>13.84</v>
      </c>
      <c r="K20" s="10">
        <f t="shared" si="5"/>
        <v>14.4</v>
      </c>
      <c r="L20" s="10">
        <f t="shared" si="5"/>
        <v>14.95</v>
      </c>
      <c r="M20" s="10">
        <f t="shared" si="5"/>
        <v>19.940000000000001</v>
      </c>
      <c r="N20" s="10">
        <f t="shared" si="5"/>
        <v>20.6</v>
      </c>
      <c r="O20" s="10">
        <f t="shared" si="5"/>
        <v>21.26</v>
      </c>
      <c r="P20" s="10">
        <f t="shared" si="5"/>
        <v>21.9</v>
      </c>
      <c r="Q20" s="10">
        <f t="shared" si="5"/>
        <v>22.52</v>
      </c>
      <c r="R20" s="10">
        <f t="shared" si="5"/>
        <v>23.13</v>
      </c>
      <c r="S20" s="10">
        <f t="shared" si="5"/>
        <v>23.37</v>
      </c>
      <c r="T20" s="10">
        <f t="shared" si="5"/>
        <v>23.01</v>
      </c>
      <c r="U20" s="10">
        <f t="shared" si="5"/>
        <v>22.64</v>
      </c>
      <c r="V20" s="10">
        <f t="shared" si="5"/>
        <v>22.24</v>
      </c>
      <c r="W20" s="10">
        <f t="shared" si="5"/>
        <v>21.83</v>
      </c>
      <c r="X20" s="10">
        <f t="shared" si="5"/>
        <v>21.39</v>
      </c>
      <c r="Y20" s="10">
        <f t="shared" si="5"/>
        <v>20.93</v>
      </c>
      <c r="Z20" s="10">
        <f t="shared" si="5"/>
        <v>20.45</v>
      </c>
    </row>
    <row r="21" spans="1:26" ht="19.95" customHeight="1">
      <c r="A21" s="13" t="s">
        <v>45</v>
      </c>
      <c r="B21" s="14"/>
      <c r="C21" s="15">
        <f t="shared" ref="C21:Z21" si="6">C20-C19</f>
        <v>6.39</v>
      </c>
      <c r="D21" s="15">
        <f t="shared" si="6"/>
        <v>13.14</v>
      </c>
      <c r="E21" s="15">
        <f t="shared" si="6"/>
        <v>10.95</v>
      </c>
      <c r="F21" s="15">
        <f t="shared" si="6"/>
        <v>11.56</v>
      </c>
      <c r="G21" s="15">
        <f t="shared" si="6"/>
        <v>12.1</v>
      </c>
      <c r="H21" s="15">
        <f t="shared" si="6"/>
        <v>12.69</v>
      </c>
      <c r="I21" s="15">
        <f t="shared" si="6"/>
        <v>13.27</v>
      </c>
      <c r="J21" s="15">
        <f t="shared" si="6"/>
        <v>13.84</v>
      </c>
      <c r="K21" s="15">
        <f t="shared" si="6"/>
        <v>14.4</v>
      </c>
      <c r="L21" s="15">
        <f t="shared" si="6"/>
        <v>14.95</v>
      </c>
      <c r="M21" s="15">
        <f t="shared" si="6"/>
        <v>15.5</v>
      </c>
      <c r="N21" s="15">
        <f t="shared" si="6"/>
        <v>16.020000000000003</v>
      </c>
      <c r="O21" s="15">
        <f t="shared" si="6"/>
        <v>16.55</v>
      </c>
      <c r="P21" s="15">
        <f t="shared" si="6"/>
        <v>17.059999999999999</v>
      </c>
      <c r="Q21" s="15">
        <f t="shared" si="6"/>
        <v>17.559999999999999</v>
      </c>
      <c r="R21" s="15">
        <f t="shared" si="6"/>
        <v>18.049999999999997</v>
      </c>
      <c r="S21" s="15">
        <f t="shared" si="6"/>
        <v>18.240000000000002</v>
      </c>
      <c r="T21" s="15">
        <f t="shared" si="6"/>
        <v>21.43</v>
      </c>
      <c r="U21" s="15">
        <f t="shared" si="6"/>
        <v>22.64</v>
      </c>
      <c r="V21" s="15">
        <f t="shared" si="6"/>
        <v>22.24</v>
      </c>
      <c r="W21" s="15">
        <f t="shared" si="6"/>
        <v>21.83</v>
      </c>
      <c r="X21" s="15">
        <f t="shared" si="6"/>
        <v>21.39</v>
      </c>
      <c r="Y21" s="15">
        <f t="shared" si="6"/>
        <v>20.93</v>
      </c>
      <c r="Z21" s="15">
        <f t="shared" si="6"/>
        <v>20.45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Kumar jangir</cp:lastModifiedBy>
  <dcterms:created xsi:type="dcterms:W3CDTF">2026-06-12T12:49:47Z</dcterms:created>
  <dcterms:modified xsi:type="dcterms:W3CDTF">2026-06-12T12:51:40Z</dcterms:modified>
</cp:coreProperties>
</file>