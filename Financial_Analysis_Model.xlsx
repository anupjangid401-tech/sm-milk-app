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  <sheet xmlns:r="http://schemas.openxmlformats.org/officeDocument/2006/relationships" name="Depreci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7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color rgb="00FFFFFF"/>
      <sz val="11"/>
    </font>
    <font>
      <name val="Calibri"/>
      <i val="1"/>
      <sz val="11"/>
    </font>
    <font>
      <name val="Calibri"/>
      <b val="1"/>
      <sz val="11"/>
    </font>
    <font>
      <name val="Calibri"/>
      <sz val="11"/>
    </font>
    <font>
      <name val="Calibri"/>
      <b val="1"/>
      <i val="1"/>
      <sz val="11"/>
    </font>
  </fonts>
  <fills count="5">
    <fill>
      <patternFill/>
    </fill>
    <fill>
      <patternFill patternType="gray125"/>
    </fill>
    <fill>
      <patternFill patternType="solid">
        <fgColor rgb="00F2EBEF"/>
        <bgColor rgb="00F2EBEF"/>
      </patternFill>
    </fill>
    <fill>
      <patternFill patternType="solid">
        <fgColor rgb="005E2750"/>
        <bgColor rgb="005E2750"/>
      </patternFill>
    </fill>
    <fill>
      <patternFill patternType="solid">
        <fgColor rgb="00F9F9F9"/>
        <bgColor rgb="00F9F9F9"/>
      </patternFill>
    </fill>
  </fills>
  <borders count="4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double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/>
    </xf>
    <xf numFmtId="164" fontId="5" fillId="0" borderId="2" applyAlignment="1" pivotButton="0" quotePrefix="0" xfId="0">
      <alignment horizontal="right" vertical="center"/>
    </xf>
    <xf numFmtId="164" fontId="4" fillId="0" borderId="3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0" fontId="5" fillId="0" borderId="2" pivotButton="0" quotePrefix="0" xfId="0"/>
    <xf numFmtId="10" fontId="4" fillId="0" borderId="2" applyAlignment="1" pivotButton="0" quotePrefix="0" xfId="0">
      <alignment horizontal="right" vertical="center"/>
    </xf>
    <xf numFmtId="0" fontId="0" fillId="0" borderId="2" pivotButton="0" quotePrefix="0" xfId="0"/>
    <xf numFmtId="0" fontId="3" fillId="0" borderId="0" pivotButton="0" quotePrefix="0" xfId="0"/>
    <xf numFmtId="0" fontId="5" fillId="0" borderId="0" pivotButton="0" quotePrefix="0" xfId="0"/>
    <xf numFmtId="164" fontId="4" fillId="0" borderId="2" pivotButton="0" quotePrefix="0" xfId="0"/>
    <xf numFmtId="2" fontId="5" fillId="0" borderId="0" pivotButton="0" quotePrefix="0" xfId="0"/>
    <xf numFmtId="9" fontId="5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9" fontId="4" fillId="0" borderId="2" pivotButton="0" quotePrefix="0" xfId="0"/>
    <xf numFmtId="0" fontId="4" fillId="0" borderId="2" pivotButton="0" quotePrefix="0" xfId="0"/>
    <xf numFmtId="164" fontId="5" fillId="0" borderId="2" pivotButton="0" quotePrefix="0" xfId="0"/>
    <xf numFmtId="0" fontId="3" fillId="0" borderId="2" pivotButton="0" quotePrefix="0" xfId="0"/>
    <xf numFmtId="10" fontId="3" fillId="0" borderId="2" pivotButton="0" quotePrefix="0" xfId="0"/>
    <xf numFmtId="10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5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5" customHeight="1">
      <c r="A1" s="1" t="inlineStr">
        <is>
          <t>Financial Analysis</t>
        </is>
      </c>
    </row>
    <row r="2" ht="20" customHeight="1">
      <c r="B2" s="2" t="inlineStr">
        <is>
          <t>Main Sheet</t>
        </is>
      </c>
    </row>
    <row r="4" ht="20" customHeight="1">
      <c r="A4" s="3" t="inlineStr">
        <is>
          <t>Year</t>
        </is>
      </c>
      <c r="D4" s="4" t="n">
        <v>1</v>
      </c>
      <c r="E4" s="4" t="n">
        <v>2</v>
      </c>
      <c r="F4" s="4" t="n">
        <v>3</v>
      </c>
      <c r="G4" s="4" t="n">
        <v>4</v>
      </c>
      <c r="H4" s="4" t="n">
        <v>5</v>
      </c>
      <c r="I4" s="4" t="n">
        <v>6</v>
      </c>
      <c r="J4" s="4" t="n">
        <v>7</v>
      </c>
      <c r="K4" s="4" t="n">
        <v>8</v>
      </c>
      <c r="L4" s="4" t="n">
        <v>9</v>
      </c>
      <c r="M4" s="4" t="n">
        <v>10</v>
      </c>
      <c r="N4" s="4" t="n">
        <v>11</v>
      </c>
      <c r="O4" s="4" t="n">
        <v>12</v>
      </c>
      <c r="P4" s="4" t="n">
        <v>13</v>
      </c>
      <c r="Q4" s="4" t="n">
        <v>14</v>
      </c>
      <c r="R4" s="4" t="n">
        <v>15</v>
      </c>
      <c r="S4" s="4" t="n">
        <v>16</v>
      </c>
      <c r="T4" s="4" t="n">
        <v>17</v>
      </c>
      <c r="U4" s="4" t="n">
        <v>18</v>
      </c>
      <c r="V4" s="4" t="n">
        <v>19</v>
      </c>
      <c r="W4" s="4" t="n">
        <v>20</v>
      </c>
      <c r="X4" s="4" t="n">
        <v>21</v>
      </c>
      <c r="Y4" s="4" t="n">
        <v>22</v>
      </c>
      <c r="Z4" s="4" t="n">
        <v>23</v>
      </c>
      <c r="AA4" s="4" t="n">
        <v>24</v>
      </c>
      <c r="AB4" s="4" t="n">
        <v>25</v>
      </c>
      <c r="AC4" s="4" t="n">
        <v>26</v>
      </c>
    </row>
    <row r="5" ht="20" customHeight="1">
      <c r="A5" s="3" t="inlineStr">
        <is>
          <t>Year March Ending</t>
        </is>
      </c>
      <c r="D5" s="4" t="inlineStr">
        <is>
          <t>2025-26</t>
        </is>
      </c>
      <c r="E5" s="4" t="inlineStr">
        <is>
          <t>2026-27</t>
        </is>
      </c>
      <c r="F5" s="4" t="inlineStr">
        <is>
          <t>2027-28</t>
        </is>
      </c>
      <c r="G5" s="4" t="inlineStr">
        <is>
          <t>2028-29</t>
        </is>
      </c>
      <c r="H5" s="4" t="inlineStr">
        <is>
          <t>2029-30</t>
        </is>
      </c>
      <c r="I5" s="4" t="inlineStr">
        <is>
          <t>2030-31</t>
        </is>
      </c>
      <c r="J5" s="4" t="inlineStr">
        <is>
          <t>2031-32</t>
        </is>
      </c>
      <c r="K5" s="4" t="inlineStr">
        <is>
          <t>2032-33</t>
        </is>
      </c>
      <c r="L5" s="4" t="inlineStr">
        <is>
          <t>2033-34</t>
        </is>
      </c>
      <c r="M5" s="4" t="inlineStr">
        <is>
          <t>2034-35</t>
        </is>
      </c>
      <c r="N5" s="4" t="inlineStr">
        <is>
          <t>2035-36</t>
        </is>
      </c>
      <c r="O5" s="4" t="inlineStr">
        <is>
          <t>2036-37</t>
        </is>
      </c>
      <c r="P5" s="4" t="inlineStr">
        <is>
          <t>2037-38</t>
        </is>
      </c>
      <c r="Q5" s="4" t="inlineStr">
        <is>
          <t>2038-39</t>
        </is>
      </c>
      <c r="R5" s="4" t="inlineStr">
        <is>
          <t>2039-40</t>
        </is>
      </c>
      <c r="S5" s="4" t="inlineStr">
        <is>
          <t>2040-41</t>
        </is>
      </c>
      <c r="T5" s="4" t="inlineStr">
        <is>
          <t>2041-42</t>
        </is>
      </c>
      <c r="U5" s="4" t="inlineStr">
        <is>
          <t>2042-43</t>
        </is>
      </c>
      <c r="V5" s="4" t="inlineStr">
        <is>
          <t>2043-44</t>
        </is>
      </c>
      <c r="W5" s="4" t="inlineStr">
        <is>
          <t>2044-45</t>
        </is>
      </c>
      <c r="X5" s="4" t="inlineStr">
        <is>
          <t>2045-46</t>
        </is>
      </c>
      <c r="Y5" s="4" t="inlineStr">
        <is>
          <t>2046-47</t>
        </is>
      </c>
      <c r="Z5" s="4" t="inlineStr">
        <is>
          <t>2047-48</t>
        </is>
      </c>
      <c r="AA5" s="4" t="inlineStr">
        <is>
          <t>2048-49</t>
        </is>
      </c>
      <c r="AB5" s="4" t="inlineStr">
        <is>
          <t>2038-39</t>
        </is>
      </c>
      <c r="AC5" s="4" t="inlineStr">
        <is>
          <t>2040-41</t>
        </is>
      </c>
    </row>
    <row r="7">
      <c r="A7" s="5" t="inlineStr">
        <is>
          <t>DSCR Calculation</t>
        </is>
      </c>
      <c r="B7" s="6" t="inlineStr">
        <is>
          <t>Cash accrual (PAT+Dep+Interest)</t>
        </is>
      </c>
      <c r="D7" s="7">
        <f>D15+D16+D17</f>
        <v/>
      </c>
      <c r="E7" s="7">
        <f>E15+E16+E17</f>
        <v/>
      </c>
      <c r="F7" s="7">
        <f>F15+F16+F17</f>
        <v/>
      </c>
      <c r="G7" s="7">
        <f>G15+G16+G17</f>
        <v/>
      </c>
      <c r="H7" s="7">
        <f>H15+H16+H17</f>
        <v/>
      </c>
      <c r="I7" s="7">
        <f>I15+I16+I17</f>
        <v/>
      </c>
      <c r="J7" s="7">
        <f>J15+J16+J17</f>
        <v/>
      </c>
      <c r="K7" s="7">
        <f>K15+K16+K17</f>
        <v/>
      </c>
      <c r="L7" s="7">
        <f>L15+L16+L17</f>
        <v/>
      </c>
      <c r="M7" s="7">
        <f>M15+M16+M17</f>
        <v/>
      </c>
      <c r="N7" s="7">
        <f>N15+N16+N17</f>
        <v/>
      </c>
      <c r="O7" s="7">
        <f>O15+O16+O17</f>
        <v/>
      </c>
      <c r="P7" s="7">
        <f>P15+P16+P17</f>
        <v/>
      </c>
      <c r="Q7" s="7">
        <f>Q15+Q16+Q17</f>
        <v/>
      </c>
      <c r="R7" s="7">
        <f>R15+R16+R17</f>
        <v/>
      </c>
      <c r="S7" s="7">
        <f>S15+S16+S17</f>
        <v/>
      </c>
      <c r="T7" s="7">
        <f>T15+T16+T17</f>
        <v/>
      </c>
      <c r="U7" s="7">
        <f>U15+U16+U17</f>
        <v/>
      </c>
      <c r="V7" s="7">
        <f>V15+V16+V17</f>
        <v/>
      </c>
      <c r="W7" s="7">
        <f>W15+W16+W17</f>
        <v/>
      </c>
      <c r="X7" s="7">
        <f>X15+X16+X17</f>
        <v/>
      </c>
      <c r="Y7" s="7">
        <f>Y15+Y16+Y17</f>
        <v/>
      </c>
      <c r="Z7" s="7">
        <f>Z15+Z16+Z17</f>
        <v/>
      </c>
      <c r="AA7" s="7">
        <f>AA15+AA16+AA17</f>
        <v/>
      </c>
      <c r="AB7" s="7">
        <f>AB15+AB16+AB17</f>
        <v/>
      </c>
      <c r="AC7" s="7">
        <f>AC15+AC16+AC17</f>
        <v/>
      </c>
    </row>
    <row r="8">
      <c r="B8" s="6" t="inlineStr">
        <is>
          <t>Debt repayment (Interest + Principal)</t>
        </is>
      </c>
      <c r="D8" s="7" t="n">
        <v>35.75</v>
      </c>
      <c r="E8" s="7" t="n">
        <v>94.36</v>
      </c>
      <c r="F8" s="7" t="n">
        <v>90.78</v>
      </c>
      <c r="G8" s="7" t="n">
        <v>87.20999999999999</v>
      </c>
      <c r="H8" s="7" t="n">
        <v>83.63</v>
      </c>
      <c r="I8" s="7" t="n">
        <v>80.06</v>
      </c>
      <c r="J8" s="7" t="n">
        <v>76.48</v>
      </c>
      <c r="K8" s="7" t="n">
        <v>72.90000000000001</v>
      </c>
      <c r="L8" s="7" t="n">
        <v>69.33</v>
      </c>
      <c r="M8" s="7" t="n">
        <v>65.75</v>
      </c>
      <c r="N8" s="7" t="n">
        <v>62.18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0</v>
      </c>
    </row>
    <row r="9">
      <c r="B9" s="3" t="inlineStr">
        <is>
          <t>DSCR</t>
        </is>
      </c>
      <c r="D9" s="8">
        <f>IF(D8=0, 0.00, D7/D8)</f>
        <v/>
      </c>
      <c r="E9" s="8">
        <f>IF(E8=0, 0.00, E7/E8)</f>
        <v/>
      </c>
      <c r="F9" s="8">
        <f>IF(F8=0, 0.00, F7/F8)</f>
        <v/>
      </c>
      <c r="G9" s="8">
        <f>IF(G8=0, 0.00, G7/G8)</f>
        <v/>
      </c>
      <c r="H9" s="8">
        <f>IF(H8=0, 0.00, H7/H8)</f>
        <v/>
      </c>
      <c r="I9" s="8">
        <f>IF(I8=0, 0.00, I7/I8)</f>
        <v/>
      </c>
      <c r="J9" s="8">
        <f>IF(J8=0, 0.00, J7/J8)</f>
        <v/>
      </c>
      <c r="K9" s="8">
        <f>IF(K8=0, 0.00, K7/K8)</f>
        <v/>
      </c>
      <c r="L9" s="8">
        <f>IF(L8=0, 0.00, L7/L8)</f>
        <v/>
      </c>
      <c r="M9" s="8">
        <f>IF(M8=0, 0.00, M7/M8)</f>
        <v/>
      </c>
      <c r="N9" s="8">
        <f>IF(N8=0, 0.00, N7/N8)</f>
        <v/>
      </c>
      <c r="O9" s="8">
        <f>IF(O8=0, 0.00, O7/O8)</f>
        <v/>
      </c>
      <c r="P9" s="8">
        <f>IF(P8=0, 0.00, P7/P8)</f>
        <v/>
      </c>
      <c r="Q9" s="8">
        <f>IF(Q8=0, 0.00, Q7/Q8)</f>
        <v/>
      </c>
      <c r="R9" s="8">
        <f>IF(R8=0, 0.00, R7/R8)</f>
        <v/>
      </c>
      <c r="S9" s="8">
        <f>IF(S8=0, 0.00, S7/S8)</f>
        <v/>
      </c>
      <c r="T9" s="8">
        <f>IF(T8=0, 0.00, T7/T8)</f>
        <v/>
      </c>
      <c r="U9" s="8">
        <f>IF(U8=0, 0.00, U7/U8)</f>
        <v/>
      </c>
      <c r="V9" s="8">
        <f>IF(V8=0, 0.00, V7/V8)</f>
        <v/>
      </c>
      <c r="W9" s="8">
        <f>IF(W8=0, 0.00, W7/W8)</f>
        <v/>
      </c>
      <c r="X9" s="8">
        <f>IF(X8=0, 0.00, X7/X8)</f>
        <v/>
      </c>
      <c r="Y9" s="8">
        <f>IF(Y8=0, 0.00, Y7/Y8)</f>
        <v/>
      </c>
      <c r="Z9" s="8">
        <f>IF(Z8=0, 0.00, Z7/Z8)</f>
        <v/>
      </c>
      <c r="AA9" s="8">
        <f>IF(AA8=0, 0.00, AA7/AA8)</f>
        <v/>
      </c>
      <c r="AB9" s="8">
        <f>IF(AB8=0, 0.00, AB7/AB8)</f>
        <v/>
      </c>
      <c r="AC9" s="8">
        <f>IF(AC8=0, 0.00, AC7/AC8)</f>
        <v/>
      </c>
    </row>
    <row r="10">
      <c r="B10" s="9" t="inlineStr">
        <is>
          <t>MIN DSCR</t>
        </is>
      </c>
      <c r="C10" s="10">
        <f>MIN(D9:N9)</f>
        <v/>
      </c>
    </row>
    <row r="11">
      <c r="B11" s="9" t="inlineStr">
        <is>
          <t>Average DSCR</t>
        </is>
      </c>
      <c r="C11" s="10">
        <f>AVERAGE(D9:N9)</f>
        <v/>
      </c>
    </row>
    <row r="12">
      <c r="B12" s="9" t="inlineStr">
        <is>
          <t>MAX DSCR</t>
        </is>
      </c>
      <c r="C12" s="10">
        <f>MAX(D9:N9)</f>
        <v/>
      </c>
    </row>
    <row r="14" ht="20" customHeight="1">
      <c r="A14" s="5" t="inlineStr">
        <is>
          <t>Project IRR</t>
        </is>
      </c>
      <c r="B14" s="6" t="inlineStr">
        <is>
          <t>Capital Expenditure</t>
        </is>
      </c>
      <c r="C14" s="7" t="n">
        <v>-788.72</v>
      </c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</row>
    <row r="15" ht="20" customHeight="1">
      <c r="B15" s="6" t="inlineStr">
        <is>
          <t>PAT</t>
        </is>
      </c>
      <c r="D15" s="7" t="n">
        <v>24.09</v>
      </c>
      <c r="E15" s="7" t="n">
        <v>49.54</v>
      </c>
      <c r="F15" s="7" t="n">
        <v>41.3</v>
      </c>
      <c r="G15" s="7" t="n">
        <v>43.58</v>
      </c>
      <c r="H15" s="7" t="n">
        <v>45.62</v>
      </c>
      <c r="I15" s="7" t="n">
        <v>47.84</v>
      </c>
      <c r="J15" s="7" t="n">
        <v>50.02</v>
      </c>
      <c r="K15" s="7" t="n">
        <v>52.18</v>
      </c>
      <c r="L15" s="7" t="n">
        <v>54.3</v>
      </c>
      <c r="M15" s="7" t="n">
        <v>56.38</v>
      </c>
      <c r="N15" s="7" t="n">
        <v>58.43</v>
      </c>
      <c r="O15" s="7" t="n">
        <v>60.44</v>
      </c>
      <c r="P15" s="7" t="n">
        <v>62.41</v>
      </c>
      <c r="Q15" s="7" t="n">
        <v>64.33</v>
      </c>
      <c r="R15" s="7" t="n">
        <v>66.22</v>
      </c>
      <c r="S15" s="7" t="n">
        <v>68.05</v>
      </c>
      <c r="T15" s="7" t="n">
        <v>68.77</v>
      </c>
      <c r="U15" s="7" t="n">
        <v>67.67</v>
      </c>
      <c r="V15" s="7" t="n">
        <v>61.53</v>
      </c>
      <c r="W15" s="7" t="n">
        <v>60.4</v>
      </c>
      <c r="X15" s="7" t="n">
        <v>59.21</v>
      </c>
      <c r="Y15" s="7" t="n">
        <v>57.96</v>
      </c>
      <c r="Z15" s="7" t="n">
        <v>56.65</v>
      </c>
      <c r="AA15" s="7" t="n">
        <v>55.27</v>
      </c>
      <c r="AB15" s="7" t="n">
        <v>73.77</v>
      </c>
      <c r="AC15" s="7" t="n">
        <v>73.77</v>
      </c>
    </row>
    <row r="16" ht="20" customHeight="1">
      <c r="B16" s="6" t="inlineStr">
        <is>
          <t>Depreciation</t>
        </is>
      </c>
      <c r="D16" s="7">
        <f>Depreciation!D11</f>
        <v/>
      </c>
      <c r="E16" s="7">
        <f>Depreciation!E11</f>
        <v/>
      </c>
      <c r="F16" s="7">
        <f>Depreciation!F11</f>
        <v/>
      </c>
      <c r="G16" s="7">
        <f>Depreciation!G11</f>
        <v/>
      </c>
      <c r="H16" s="7">
        <f>Depreciation!H11</f>
        <v/>
      </c>
      <c r="I16" s="7">
        <f>Depreciation!I11</f>
        <v/>
      </c>
      <c r="J16" s="7">
        <f>Depreciation!J11</f>
        <v/>
      </c>
      <c r="K16" s="7">
        <f>Depreciation!K11</f>
        <v/>
      </c>
      <c r="L16" s="7">
        <f>Depreciation!L11</f>
        <v/>
      </c>
      <c r="M16" s="7">
        <f>Depreciation!M11</f>
        <v/>
      </c>
      <c r="N16" s="7">
        <f>Depreciation!N11</f>
        <v/>
      </c>
      <c r="O16" s="7">
        <f>Depreciation!O11</f>
        <v/>
      </c>
      <c r="P16" s="7">
        <f>Depreciation!P11</f>
        <v/>
      </c>
      <c r="Q16" s="7">
        <f>Depreciation!Q11</f>
        <v/>
      </c>
      <c r="R16" s="7">
        <f>Depreciation!R11</f>
        <v/>
      </c>
      <c r="S16" s="7">
        <f>Depreciation!S11</f>
        <v/>
      </c>
      <c r="T16" s="7">
        <f>Depreciation!T11</f>
        <v/>
      </c>
      <c r="U16" s="7">
        <f>Depreciation!U11</f>
        <v/>
      </c>
      <c r="V16" s="7">
        <f>Depreciation!V11</f>
        <v/>
      </c>
      <c r="W16" s="7">
        <f>Depreciation!W11</f>
        <v/>
      </c>
      <c r="X16" s="7">
        <f>Depreciation!X11</f>
        <v/>
      </c>
      <c r="Y16" s="7">
        <f>Depreciation!Y11</f>
        <v/>
      </c>
      <c r="Z16" s="7">
        <f>Depreciation!Z11</f>
        <v/>
      </c>
      <c r="AA16" s="7">
        <f>Depreciation!AA11</f>
        <v/>
      </c>
      <c r="AB16" s="7">
        <f>Depreciation!AB11</f>
        <v/>
      </c>
      <c r="AC16" s="7">
        <f>Depreciation!AC11</f>
        <v/>
      </c>
    </row>
    <row r="17" ht="20" customHeight="1">
      <c r="B17" s="6" t="inlineStr">
        <is>
          <t>Interest</t>
        </is>
      </c>
      <c r="D17" s="7" t="n">
        <v>26.82</v>
      </c>
      <c r="E17" s="7" t="n">
        <v>52.29</v>
      </c>
      <c r="F17" s="7" t="n">
        <v>48.72</v>
      </c>
      <c r="G17" s="7" t="n">
        <v>45.14</v>
      </c>
      <c r="H17" s="7" t="n">
        <v>41.57</v>
      </c>
      <c r="I17" s="7" t="n">
        <v>37.99</v>
      </c>
      <c r="J17" s="7" t="n">
        <v>34.41</v>
      </c>
      <c r="K17" s="7" t="n">
        <v>30.84</v>
      </c>
      <c r="L17" s="7" t="n">
        <v>27.26</v>
      </c>
      <c r="M17" s="7" t="n">
        <v>23.69</v>
      </c>
      <c r="N17" s="7" t="n">
        <v>20.11</v>
      </c>
      <c r="O17" s="7" t="n">
        <v>16.54</v>
      </c>
      <c r="P17" s="7" t="n">
        <v>12.96</v>
      </c>
      <c r="Q17" s="7" t="n">
        <v>9.390000000000001</v>
      </c>
      <c r="R17" s="7" t="n">
        <v>5.8</v>
      </c>
      <c r="S17" s="7" t="n">
        <v>2.22</v>
      </c>
      <c r="T17" s="7" t="n">
        <v>0</v>
      </c>
      <c r="U17" s="7" t="n">
        <v>0</v>
      </c>
      <c r="V17" s="7" t="n">
        <v>0</v>
      </c>
      <c r="W17" s="7" t="n">
        <v>0</v>
      </c>
      <c r="X17" s="7" t="n">
        <v>0</v>
      </c>
      <c r="Y17" s="7" t="n">
        <v>0</v>
      </c>
      <c r="Z17" s="7" t="n">
        <v>0</v>
      </c>
      <c r="AA17" s="7" t="n">
        <v>0</v>
      </c>
      <c r="AB17" s="7" t="n">
        <v>0</v>
      </c>
      <c r="AC17" s="7" t="n">
        <v>0</v>
      </c>
    </row>
    <row r="18" ht="20" customHeight="1">
      <c r="B18" s="6" t="inlineStr">
        <is>
          <t>Salvage Value</t>
        </is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0</v>
      </c>
      <c r="AB18" s="7" t="n">
        <v>0</v>
      </c>
      <c r="AC18" s="7" t="n">
        <v>78.87</v>
      </c>
    </row>
    <row r="19" ht="20" customHeight="1">
      <c r="B19" s="6" t="inlineStr">
        <is>
          <t>Incremental Margin Money for WC</t>
        </is>
      </c>
      <c r="D19" s="7" t="n">
        <v>2.41</v>
      </c>
      <c r="E19" s="7" t="n">
        <v>2.4</v>
      </c>
      <c r="F19" s="7" t="n">
        <v>0.58</v>
      </c>
      <c r="G19" s="7" t="n">
        <v>0.03</v>
      </c>
      <c r="H19" s="7" t="n">
        <v>0.02</v>
      </c>
      <c r="I19" s="7" t="n">
        <v>0.03</v>
      </c>
      <c r="J19" s="7" t="n">
        <v>0.03</v>
      </c>
      <c r="K19" s="7" t="n">
        <v>0.04</v>
      </c>
      <c r="L19" s="7" t="n">
        <v>0.04</v>
      </c>
      <c r="M19" s="7" t="n">
        <v>0.04</v>
      </c>
      <c r="N19" s="7" t="n">
        <v>0.04</v>
      </c>
      <c r="O19" s="7" t="n">
        <v>0.04</v>
      </c>
      <c r="P19" s="7" t="n">
        <v>0.05</v>
      </c>
      <c r="Q19" s="7" t="n">
        <v>0.05</v>
      </c>
      <c r="R19" s="7" t="n">
        <v>0.05</v>
      </c>
      <c r="S19" s="7" t="n">
        <v>0.05</v>
      </c>
      <c r="T19" s="7" t="n">
        <v>0.05</v>
      </c>
      <c r="U19" s="7" t="n">
        <v>0.05</v>
      </c>
      <c r="V19" s="7" t="n">
        <v>0.05</v>
      </c>
      <c r="W19" s="7" t="n">
        <v>0.06</v>
      </c>
      <c r="X19" s="7" t="n">
        <v>0.07000000000000001</v>
      </c>
      <c r="Y19" s="7" t="n">
        <v>0.07000000000000001</v>
      </c>
      <c r="Z19" s="7" t="n">
        <v>0.08</v>
      </c>
      <c r="AA19" s="7" t="n">
        <v>0</v>
      </c>
      <c r="AB19" s="7" t="n">
        <v>0</v>
      </c>
      <c r="AC19" s="7" t="n">
        <v>0</v>
      </c>
    </row>
    <row r="20" ht="20" customHeight="1">
      <c r="B20" s="3" t="inlineStr">
        <is>
          <t>Net Cash Flow</t>
        </is>
      </c>
      <c r="C20" s="10" t="n">
        <v>0</v>
      </c>
      <c r="D20" s="8">
        <f>D14+D15+D16+D17+D18-D19+C14</f>
        <v/>
      </c>
      <c r="E20" s="8">
        <f>E14+E15+E16+E17+E18-E19</f>
        <v/>
      </c>
      <c r="F20" s="8">
        <f>F14+F15+F16+F17+F18-F19</f>
        <v/>
      </c>
      <c r="G20" s="8">
        <f>G14+G15+G16+G17+G18-G19</f>
        <v/>
      </c>
      <c r="H20" s="8">
        <f>H14+H15+H16+H17+H18-H19</f>
        <v/>
      </c>
      <c r="I20" s="8">
        <f>I14+I15+I16+I17+I18-I19</f>
        <v/>
      </c>
      <c r="J20" s="8">
        <f>J14+J15+J16+J17+J18-J19</f>
        <v/>
      </c>
      <c r="K20" s="8">
        <f>K14+K15+K16+K17+K18-K19</f>
        <v/>
      </c>
      <c r="L20" s="8">
        <f>L14+L15+L16+L17+L18-L19</f>
        <v/>
      </c>
      <c r="M20" s="8">
        <f>M14+M15+M16+M17+M18-M19</f>
        <v/>
      </c>
      <c r="N20" s="8">
        <f>N14+N15+N16+N17+N18-N19</f>
        <v/>
      </c>
      <c r="O20" s="8">
        <f>O14+O15+O16+O17+O18-O19</f>
        <v/>
      </c>
      <c r="P20" s="8">
        <f>P14+P15+P16+P17+P18-P19</f>
        <v/>
      </c>
      <c r="Q20" s="8">
        <f>Q14+Q15+Q16+Q17+Q18-Q19</f>
        <v/>
      </c>
      <c r="R20" s="8">
        <f>R14+R15+R16+R17+R18-R19</f>
        <v/>
      </c>
      <c r="S20" s="8">
        <f>S14+S15+S16+S17+S18-S19</f>
        <v/>
      </c>
      <c r="T20" s="8">
        <f>T14+T15+T16+T17+T18-T19</f>
        <v/>
      </c>
      <c r="U20" s="8">
        <f>U14+U15+U16+U17+U18-U19</f>
        <v/>
      </c>
      <c r="V20" s="8">
        <f>V14+V15+V16+V17+V18-V19</f>
        <v/>
      </c>
      <c r="W20" s="8">
        <f>W14+W15+W16+W17+W18-W19</f>
        <v/>
      </c>
      <c r="X20" s="8">
        <f>X14+X15+X16+X17+X18-X19</f>
        <v/>
      </c>
      <c r="Y20" s="8">
        <f>Y14+Y15+Y16+Y17+Y18-Y19</f>
        <v/>
      </c>
      <c r="Z20" s="8">
        <f>Z14+Z15+Z16+Z17+Z18-Z19</f>
        <v/>
      </c>
      <c r="AA20" s="8">
        <f>AA14+AA15+AA16+AA17+AA18-AA19</f>
        <v/>
      </c>
      <c r="AB20" s="8">
        <f>AB14+AB15+AB16+AB17+AB18-AB19</f>
        <v/>
      </c>
      <c r="AC20" s="8">
        <f>AC14+AC15+AC16+AC17+AC18-AC19</f>
        <v/>
      </c>
    </row>
    <row r="21" ht="20" customHeight="1">
      <c r="B21" s="9" t="inlineStr">
        <is>
          <t>Project IRR</t>
        </is>
      </c>
      <c r="C21" s="12">
        <f>IRR(D20:AC20)</f>
        <v/>
      </c>
    </row>
    <row r="24" ht="20" customHeight="1">
      <c r="A24" s="5" t="inlineStr">
        <is>
          <t>Equity IRR</t>
        </is>
      </c>
      <c r="B24" s="6" t="inlineStr">
        <is>
          <t>Equity Investment</t>
        </is>
      </c>
      <c r="C24" s="7" t="n">
        <v>-157.74</v>
      </c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</row>
    <row r="25" ht="20" customHeight="1">
      <c r="B25" s="6" t="inlineStr">
        <is>
          <t>PAT</t>
        </is>
      </c>
      <c r="D25" s="7">
        <f>D15</f>
        <v/>
      </c>
      <c r="E25" s="7">
        <f>E15</f>
        <v/>
      </c>
      <c r="F25" s="7">
        <f>F15</f>
        <v/>
      </c>
      <c r="G25" s="7">
        <f>G15</f>
        <v/>
      </c>
      <c r="H25" s="7">
        <f>H15</f>
        <v/>
      </c>
      <c r="I25" s="7">
        <f>I15</f>
        <v/>
      </c>
      <c r="J25" s="7">
        <f>J15</f>
        <v/>
      </c>
      <c r="K25" s="7">
        <f>K15</f>
        <v/>
      </c>
      <c r="L25" s="7">
        <f>L15</f>
        <v/>
      </c>
      <c r="M25" s="7">
        <f>M15</f>
        <v/>
      </c>
      <c r="N25" s="7">
        <f>N15</f>
        <v/>
      </c>
      <c r="O25" s="7">
        <f>O15</f>
        <v/>
      </c>
      <c r="P25" s="7">
        <f>P15</f>
        <v/>
      </c>
      <c r="Q25" s="7">
        <f>Q15</f>
        <v/>
      </c>
      <c r="R25" s="7">
        <f>R15</f>
        <v/>
      </c>
      <c r="S25" s="7">
        <f>S15</f>
        <v/>
      </c>
      <c r="T25" s="7">
        <f>T15</f>
        <v/>
      </c>
      <c r="U25" s="7">
        <f>U15</f>
        <v/>
      </c>
      <c r="V25" s="7">
        <f>V15</f>
        <v/>
      </c>
      <c r="W25" s="7">
        <f>W15</f>
        <v/>
      </c>
      <c r="X25" s="7">
        <f>X15</f>
        <v/>
      </c>
      <c r="Y25" s="7">
        <f>Y15</f>
        <v/>
      </c>
      <c r="Z25" s="7">
        <f>Z15</f>
        <v/>
      </c>
      <c r="AA25" s="7">
        <f>AA15</f>
        <v/>
      </c>
      <c r="AB25" s="7">
        <f>AB15</f>
        <v/>
      </c>
      <c r="AC25" s="7">
        <f>AC15</f>
        <v/>
      </c>
    </row>
    <row r="26" ht="20" customHeight="1">
      <c r="B26" s="6" t="inlineStr">
        <is>
          <t>Depreciation</t>
        </is>
      </c>
      <c r="D26" s="7">
        <f>D16</f>
        <v/>
      </c>
      <c r="E26" s="7">
        <f>E16</f>
        <v/>
      </c>
      <c r="F26" s="7">
        <f>F16</f>
        <v/>
      </c>
      <c r="G26" s="7">
        <f>G16</f>
        <v/>
      </c>
      <c r="H26" s="7">
        <f>H16</f>
        <v/>
      </c>
      <c r="I26" s="7">
        <f>I16</f>
        <v/>
      </c>
      <c r="J26" s="7">
        <f>J16</f>
        <v/>
      </c>
      <c r="K26" s="7">
        <f>K16</f>
        <v/>
      </c>
      <c r="L26" s="7">
        <f>L16</f>
        <v/>
      </c>
      <c r="M26" s="7">
        <f>M16</f>
        <v/>
      </c>
      <c r="N26" s="7">
        <f>N16</f>
        <v/>
      </c>
      <c r="O26" s="7">
        <f>O16</f>
        <v/>
      </c>
      <c r="P26" s="7">
        <f>P16</f>
        <v/>
      </c>
      <c r="Q26" s="7">
        <f>Q16</f>
        <v/>
      </c>
      <c r="R26" s="7">
        <f>R16</f>
        <v/>
      </c>
      <c r="S26" s="7">
        <f>S16</f>
        <v/>
      </c>
      <c r="T26" s="7">
        <f>T16</f>
        <v/>
      </c>
      <c r="U26" s="7">
        <f>U16</f>
        <v/>
      </c>
      <c r="V26" s="7">
        <f>V16</f>
        <v/>
      </c>
      <c r="W26" s="7">
        <f>W16</f>
        <v/>
      </c>
      <c r="X26" s="7">
        <f>X16</f>
        <v/>
      </c>
      <c r="Y26" s="7">
        <f>Y16</f>
        <v/>
      </c>
      <c r="Z26" s="7">
        <f>Z16</f>
        <v/>
      </c>
      <c r="AA26" s="7">
        <f>AA16</f>
        <v/>
      </c>
      <c r="AB26" s="7">
        <f>AB16</f>
        <v/>
      </c>
      <c r="AC26" s="7">
        <f>AC16</f>
        <v/>
      </c>
    </row>
    <row r="27" ht="20" customHeight="1">
      <c r="B27" s="6" t="inlineStr">
        <is>
          <t>Salvage Value</t>
        </is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  <c r="N27" s="7" t="n">
        <v>0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0</v>
      </c>
      <c r="U27" s="7" t="n">
        <v>0</v>
      </c>
      <c r="V27" s="7" t="n">
        <v>0</v>
      </c>
      <c r="W27" s="7" t="n">
        <v>0</v>
      </c>
      <c r="X27" s="7" t="n">
        <v>0</v>
      </c>
      <c r="Y27" s="7" t="n">
        <v>0</v>
      </c>
      <c r="Z27" s="7" t="n">
        <v>0</v>
      </c>
      <c r="AA27" s="7" t="n">
        <v>0</v>
      </c>
      <c r="AB27" s="7" t="n">
        <v>0</v>
      </c>
      <c r="AC27" s="7" t="n">
        <v>78.87</v>
      </c>
    </row>
    <row r="28" ht="20" customHeight="1">
      <c r="B28" s="6" t="inlineStr">
        <is>
          <t>Less Repayment of Term Loan</t>
        </is>
      </c>
      <c r="D28" s="7" t="n">
        <v>0</v>
      </c>
      <c r="E28" s="7" t="n">
        <v>42.07</v>
      </c>
      <c r="F28" s="7" t="n">
        <v>42.07</v>
      </c>
      <c r="G28" s="7" t="n">
        <v>42.07</v>
      </c>
      <c r="H28" s="7" t="n">
        <v>42.07</v>
      </c>
      <c r="I28" s="7" t="n">
        <v>42.07</v>
      </c>
      <c r="J28" s="7" t="n">
        <v>42.07</v>
      </c>
      <c r="K28" s="7" t="n">
        <v>42.07</v>
      </c>
      <c r="L28" s="7" t="n">
        <v>42.07</v>
      </c>
      <c r="M28" s="7" t="n">
        <v>42.07</v>
      </c>
      <c r="N28" s="7" t="n">
        <v>42.07</v>
      </c>
      <c r="O28" s="7" t="n">
        <v>42.07</v>
      </c>
      <c r="P28" s="7" t="n">
        <v>42.07</v>
      </c>
      <c r="Q28" s="7" t="n">
        <v>42.07</v>
      </c>
      <c r="R28" s="7" t="n">
        <v>42.07</v>
      </c>
      <c r="S28" s="7" t="n">
        <v>42.07</v>
      </c>
      <c r="T28" s="7" t="n">
        <v>0</v>
      </c>
      <c r="U28" s="7" t="n">
        <v>0</v>
      </c>
      <c r="V28" s="7" t="n">
        <v>0</v>
      </c>
      <c r="W28" s="7" t="n">
        <v>0</v>
      </c>
      <c r="X28" s="7" t="n">
        <v>0</v>
      </c>
      <c r="Y28" s="7" t="n">
        <v>0</v>
      </c>
      <c r="Z28" s="7" t="n">
        <v>0</v>
      </c>
      <c r="AA28" s="7" t="n">
        <v>0</v>
      </c>
      <c r="AB28" s="7" t="n">
        <v>0</v>
      </c>
      <c r="AC28" s="7" t="n">
        <v>0</v>
      </c>
    </row>
    <row r="29" ht="20" customHeight="1">
      <c r="B29" s="3" t="inlineStr">
        <is>
          <t>Net Cash Flow</t>
        </is>
      </c>
      <c r="C29" s="13" t="n"/>
      <c r="D29" s="8">
        <f>D25+D26+D27-D28+C24</f>
        <v/>
      </c>
      <c r="E29" s="8">
        <f>E25+E26+E27-E28</f>
        <v/>
      </c>
      <c r="F29" s="8">
        <f>F25+F26+F27-F28</f>
        <v/>
      </c>
      <c r="G29" s="8">
        <f>G25+G26+G27-G28</f>
        <v/>
      </c>
      <c r="H29" s="8">
        <f>H25+H26+H27-H28</f>
        <v/>
      </c>
      <c r="I29" s="8">
        <f>I25+I26+I27-I28</f>
        <v/>
      </c>
      <c r="J29" s="8">
        <f>J25+J26+J27-J28</f>
        <v/>
      </c>
      <c r="K29" s="8">
        <f>K25+K26+K27-K28</f>
        <v/>
      </c>
      <c r="L29" s="8">
        <f>L25+L26+L27-L28</f>
        <v/>
      </c>
      <c r="M29" s="8">
        <f>M25+M26+M27-M28</f>
        <v/>
      </c>
      <c r="N29" s="8">
        <f>N25+N26+N27-N28</f>
        <v/>
      </c>
      <c r="O29" s="8">
        <f>O25+O26+O27-O28</f>
        <v/>
      </c>
      <c r="P29" s="8">
        <f>P25+P26+P27-P28</f>
        <v/>
      </c>
      <c r="Q29" s="8">
        <f>Q25+Q26+Q27-Q28</f>
        <v/>
      </c>
      <c r="R29" s="8">
        <f>R25+R26+R27-R28</f>
        <v/>
      </c>
      <c r="S29" s="8">
        <f>S25+S26+S27-S28</f>
        <v/>
      </c>
      <c r="T29" s="8">
        <f>T25+T26+T27-T28</f>
        <v/>
      </c>
      <c r="U29" s="8">
        <f>U25+U26+U27-U28</f>
        <v/>
      </c>
      <c r="V29" s="8">
        <f>V25+V26+V27-V28</f>
        <v/>
      </c>
      <c r="W29" s="8">
        <f>W25+W26+W27-W28</f>
        <v/>
      </c>
      <c r="X29" s="8">
        <f>X25+X26+X27-X28</f>
        <v/>
      </c>
      <c r="Y29" s="8">
        <f>Y25+Y26+Y27-Y28</f>
        <v/>
      </c>
      <c r="Z29" s="8">
        <f>Z25+Z26+Z27-Z28</f>
        <v/>
      </c>
      <c r="AA29" s="8">
        <f>AA25+AA26+AA27-AA28</f>
        <v/>
      </c>
      <c r="AB29" s="8">
        <f>AB25+AB26+AB27-AB28</f>
        <v/>
      </c>
      <c r="AC29" s="8">
        <f>AC25+AC26+AC27-AC28</f>
        <v/>
      </c>
    </row>
    <row r="30" ht="20" customHeight="1">
      <c r="B30" s="9" t="inlineStr">
        <is>
          <t>Equity IRR</t>
        </is>
      </c>
      <c r="C30" s="12">
        <f>IRR(D29:AC29)</f>
        <v/>
      </c>
    </row>
  </sheetData>
  <mergeCells count="5">
    <mergeCell ref="B2:C2"/>
    <mergeCell ref="A7:A9"/>
    <mergeCell ref="A1:AC1"/>
    <mergeCell ref="A24:A29"/>
    <mergeCell ref="A14:A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5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25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5" customHeight="1">
      <c r="A1" s="1" t="inlineStr">
        <is>
          <t>Depreciation</t>
        </is>
      </c>
    </row>
    <row r="2" ht="20" customHeight="1">
      <c r="A2" s="14" t="inlineStr">
        <is>
          <t>(Figures in Rs. Crores)</t>
        </is>
      </c>
      <c r="B2" s="2" t="inlineStr">
        <is>
          <t>Main Sheet</t>
        </is>
      </c>
    </row>
    <row r="3" ht="20" customHeight="1">
      <c r="A3" s="3" t="inlineStr">
        <is>
          <t>Year</t>
        </is>
      </c>
      <c r="D3" s="4" t="n">
        <v>1</v>
      </c>
      <c r="E3" s="4" t="n">
        <v>2</v>
      </c>
      <c r="F3" s="4" t="n">
        <v>3</v>
      </c>
      <c r="G3" s="4" t="n">
        <v>4</v>
      </c>
      <c r="H3" s="4" t="n">
        <v>5</v>
      </c>
      <c r="I3" s="4" t="n">
        <v>6</v>
      </c>
      <c r="J3" s="4" t="n">
        <v>7</v>
      </c>
      <c r="K3" s="4" t="n">
        <v>8</v>
      </c>
      <c r="L3" s="4" t="n">
        <v>9</v>
      </c>
      <c r="M3" s="4" t="n">
        <v>10</v>
      </c>
      <c r="N3" s="4" t="n">
        <v>11</v>
      </c>
      <c r="O3" s="4" t="n">
        <v>12</v>
      </c>
      <c r="P3" s="4" t="n">
        <v>13</v>
      </c>
      <c r="Q3" s="4" t="n">
        <v>14</v>
      </c>
      <c r="R3" s="4" t="n">
        <v>15</v>
      </c>
      <c r="S3" s="4" t="n">
        <v>16</v>
      </c>
      <c r="T3" s="4" t="n">
        <v>17</v>
      </c>
      <c r="U3" s="4" t="n">
        <v>18</v>
      </c>
      <c r="V3" s="4" t="n">
        <v>19</v>
      </c>
      <c r="W3" s="4" t="n">
        <v>20</v>
      </c>
      <c r="X3" s="4" t="n">
        <v>21</v>
      </c>
      <c r="Y3" s="4" t="n">
        <v>22</v>
      </c>
      <c r="Z3" s="4" t="n">
        <v>23</v>
      </c>
      <c r="AA3" s="4" t="n">
        <v>24</v>
      </c>
      <c r="AB3" s="4" t="n">
        <v>25</v>
      </c>
      <c r="AC3" s="4" t="n">
        <v>26</v>
      </c>
    </row>
    <row r="4" ht="20" customHeight="1">
      <c r="A4" s="3" t="inlineStr">
        <is>
          <t>FY</t>
        </is>
      </c>
      <c r="D4" s="4" t="inlineStr">
        <is>
          <t>2025-26</t>
        </is>
      </c>
      <c r="E4" s="4" t="inlineStr">
        <is>
          <t>2026-27</t>
        </is>
      </c>
      <c r="F4" s="4" t="inlineStr">
        <is>
          <t>2027-28</t>
        </is>
      </c>
      <c r="G4" s="4" t="inlineStr">
        <is>
          <t>2028-29</t>
        </is>
      </c>
      <c r="H4" s="4" t="inlineStr">
        <is>
          <t>2029-30</t>
        </is>
      </c>
      <c r="I4" s="4" t="inlineStr">
        <is>
          <t>2030-31</t>
        </is>
      </c>
      <c r="J4" s="4" t="inlineStr">
        <is>
          <t>2031-32</t>
        </is>
      </c>
      <c r="K4" s="4" t="inlineStr">
        <is>
          <t>2032-33</t>
        </is>
      </c>
      <c r="L4" s="4" t="inlineStr">
        <is>
          <t>2033-34</t>
        </is>
      </c>
      <c r="M4" s="4" t="inlineStr">
        <is>
          <t>2034-35</t>
        </is>
      </c>
      <c r="N4" s="4" t="inlineStr">
        <is>
          <t>2035-36</t>
        </is>
      </c>
      <c r="O4" s="4" t="inlineStr">
        <is>
          <t>2036-37</t>
        </is>
      </c>
      <c r="P4" s="4" t="inlineStr">
        <is>
          <t>2037-38</t>
        </is>
      </c>
      <c r="Q4" s="4" t="inlineStr">
        <is>
          <t>2038-39</t>
        </is>
      </c>
      <c r="R4" s="4" t="inlineStr">
        <is>
          <t>2039-40</t>
        </is>
      </c>
      <c r="S4" s="4" t="inlineStr">
        <is>
          <t>2040-41</t>
        </is>
      </c>
      <c r="T4" s="4" t="inlineStr">
        <is>
          <t>2041-42</t>
        </is>
      </c>
      <c r="U4" s="4" t="inlineStr">
        <is>
          <t>2042-43</t>
        </is>
      </c>
      <c r="V4" s="4" t="inlineStr">
        <is>
          <t>2043-44</t>
        </is>
      </c>
      <c r="W4" s="4" t="inlineStr">
        <is>
          <t>2044-45</t>
        </is>
      </c>
      <c r="X4" s="4" t="inlineStr">
        <is>
          <t>2045-46</t>
        </is>
      </c>
      <c r="Y4" s="4" t="inlineStr">
        <is>
          <t>2046-47</t>
        </is>
      </c>
      <c r="Z4" s="4" t="inlineStr">
        <is>
          <t>2047-48</t>
        </is>
      </c>
      <c r="AA4" s="4" t="inlineStr">
        <is>
          <t>2048-49</t>
        </is>
      </c>
      <c r="AB4" s="4" t="inlineStr">
        <is>
          <t>2038-39</t>
        </is>
      </c>
      <c r="AC4" s="4" t="inlineStr">
        <is>
          <t>2040-41</t>
        </is>
      </c>
    </row>
    <row r="6">
      <c r="A6" s="15" t="inlineStr">
        <is>
          <t>Total depreciable cost</t>
        </is>
      </c>
      <c r="C6" s="16">
        <f>C30</f>
        <v/>
      </c>
    </row>
    <row r="7">
      <c r="A7" s="15" t="inlineStr">
        <is>
          <t>Depreciable Life</t>
        </is>
      </c>
      <c r="B7" s="17" t="n">
        <v>25</v>
      </c>
      <c r="C7" s="15" t="inlineStr">
        <is>
          <t>Years</t>
        </is>
      </c>
    </row>
    <row r="8">
      <c r="A8" s="15" t="inlineStr">
        <is>
          <t>Salvage Value</t>
        </is>
      </c>
      <c r="B8" s="18" t="n">
        <v>0.1</v>
      </c>
    </row>
    <row r="10">
      <c r="A10" s="19" t="inlineStr">
        <is>
          <t>After 10 years, balance asset value equally spread</t>
        </is>
      </c>
    </row>
    <row r="11">
      <c r="A11" s="20" t="inlineStr">
        <is>
          <t>Depreciation in Books</t>
        </is>
      </c>
      <c r="D11" s="7">
        <f>ROUND((C28*0.02 + C29*0.08)*1/12, 2)</f>
        <v/>
      </c>
      <c r="E11" s="7">
        <f>ROUND(($C$28*0.02 + $C$29*0.08), 2)</f>
        <v/>
      </c>
      <c r="F11" s="7">
        <f>ROUND(($C$28*0.02 + $C$29*0.08), 2)</f>
        <v/>
      </c>
      <c r="G11" s="7">
        <f>ROUND(($C$28*0.02 + $C$29*0.08), 2)</f>
        <v/>
      </c>
      <c r="H11" s="7">
        <f>ROUND(($C$28*0.02 + $C$29*0.08), 2)</f>
        <v/>
      </c>
      <c r="I11" s="7">
        <f>ROUND(($C$28*0.02 + $C$29*0.08), 2)</f>
        <v/>
      </c>
      <c r="J11" s="7">
        <f>ROUND(($C$28*0.02 + $C$29*0.08), 2)</f>
        <v/>
      </c>
      <c r="K11" s="7">
        <f>ROUND(($C$28*0.02 + $C$29*0.08), 2)</f>
        <v/>
      </c>
      <c r="L11" s="7">
        <f>ROUND(($C$28*0.02 + $C$29*0.08), 2)</f>
        <v/>
      </c>
      <c r="M11" s="7">
        <f>ROUND(($C$28*0.02 + $C$29*0.08), 2)</f>
        <v/>
      </c>
      <c r="N11" s="7">
        <f>ROUND(($C$6 - SUM($D$11:$M$11))/15, 2)</f>
        <v/>
      </c>
      <c r="O11" s="7">
        <f>ROUND(($C$6 - SUM($D$11:$M$11))/15, 2)</f>
        <v/>
      </c>
      <c r="P11" s="7">
        <f>ROUND(($C$6 - SUM($D$11:$M$11))/15, 2)</f>
        <v/>
      </c>
      <c r="Q11" s="7">
        <f>ROUND(($C$6 - SUM($D$11:$M$11))/15, 2)</f>
        <v/>
      </c>
      <c r="R11" s="7">
        <f>ROUND(($C$6 - SUM($D$11:$M$11))/15, 2)</f>
        <v/>
      </c>
      <c r="S11" s="7">
        <f>ROUND(($C$6 - SUM($D$11:$M$11))/15, 2)</f>
        <v/>
      </c>
      <c r="T11" s="7">
        <f>ROUND(($C$6 - SUM($D$11:$M$11))/15, 2)</f>
        <v/>
      </c>
      <c r="U11" s="7">
        <f>ROUND(($C$6 - SUM($D$11:$M$11))/15, 2)</f>
        <v/>
      </c>
      <c r="V11" s="7">
        <f>ROUND(($C$6 - SUM($D$11:$M$11))/15, 2)</f>
        <v/>
      </c>
      <c r="W11" s="7">
        <f>ROUND(($C$6 - SUM($D$11:$M$11))/15, 2)</f>
        <v/>
      </c>
      <c r="X11" s="7">
        <f>ROUND(($C$6 - SUM($D$11:$M$11))/15, 2)</f>
        <v/>
      </c>
      <c r="Y11" s="7">
        <f>ROUND(($C$6 - SUM($D$11:$M$11))/15, 2)</f>
        <v/>
      </c>
      <c r="Z11" s="7">
        <f>ROUND(($C$6 - SUM($D$11:$M$11))/15, 2)</f>
        <v/>
      </c>
      <c r="AA11" s="7">
        <f>ROUND(($C$6 - SUM($D$11:$M$11))/15, 2)</f>
        <v/>
      </c>
      <c r="AB11" s="7">
        <f>ROUND(($C$6 - SUM($D$11:$M$11))/15, 2)</f>
        <v/>
      </c>
      <c r="AC11" s="7">
        <f>ROUND(($C$6 - SUM($D$11:$M$11))/15, 2)</f>
        <v/>
      </c>
    </row>
    <row r="13">
      <c r="A13" s="20" t="inlineStr">
        <is>
          <t>As Per Income Tax - WDV</t>
        </is>
      </c>
    </row>
    <row r="15">
      <c r="A15" s="20" t="inlineStr">
        <is>
          <t>Civil Works</t>
        </is>
      </c>
      <c r="C15" s="21" t="n">
        <v>0.1</v>
      </c>
    </row>
    <row r="16">
      <c r="B16" s="15" t="inlineStr">
        <is>
          <t>Opening Value</t>
        </is>
      </c>
      <c r="D16" s="7">
        <f>C28</f>
        <v/>
      </c>
      <c r="E16" s="7">
        <f>D18</f>
        <v/>
      </c>
      <c r="F16" s="7">
        <f>E18</f>
        <v/>
      </c>
      <c r="G16" s="7">
        <f>F18</f>
        <v/>
      </c>
      <c r="H16" s="7">
        <f>G18</f>
        <v/>
      </c>
      <c r="I16" s="7">
        <f>H18</f>
        <v/>
      </c>
      <c r="J16" s="7">
        <f>I18</f>
        <v/>
      </c>
      <c r="K16" s="7">
        <f>J18</f>
        <v/>
      </c>
      <c r="L16" s="7">
        <f>K18</f>
        <v/>
      </c>
      <c r="M16" s="7">
        <f>L18</f>
        <v/>
      </c>
      <c r="N16" s="7">
        <f>M18</f>
        <v/>
      </c>
      <c r="O16" s="7">
        <f>N18</f>
        <v/>
      </c>
      <c r="P16" s="7">
        <f>O18</f>
        <v/>
      </c>
      <c r="Q16" s="7">
        <f>P18</f>
        <v/>
      </c>
      <c r="R16" s="7">
        <f>Q18</f>
        <v/>
      </c>
      <c r="S16" s="7">
        <f>R18</f>
        <v/>
      </c>
      <c r="T16" s="7">
        <f>S18</f>
        <v/>
      </c>
      <c r="U16" s="7">
        <f>T18</f>
        <v/>
      </c>
      <c r="V16" s="7">
        <f>U18</f>
        <v/>
      </c>
      <c r="W16" s="7">
        <f>V18</f>
        <v/>
      </c>
      <c r="X16" s="7">
        <f>W18</f>
        <v/>
      </c>
      <c r="Y16" s="7">
        <f>X18</f>
        <v/>
      </c>
      <c r="Z16" s="7">
        <f>Y18</f>
        <v/>
      </c>
      <c r="AA16" s="7">
        <f>Z18</f>
        <v/>
      </c>
      <c r="AB16" s="7">
        <f>AA18</f>
        <v/>
      </c>
      <c r="AC16" s="7">
        <f>AB18</f>
        <v/>
      </c>
    </row>
    <row r="17">
      <c r="B17" s="15" t="inlineStr">
        <is>
          <t>Depreciation</t>
        </is>
      </c>
      <c r="D17" s="7">
        <f>ROUND(D16 * $C$15 * 9/12, 2)</f>
        <v/>
      </c>
      <c r="E17" s="7">
        <f>ROUND(E16 * $C$15, 2)</f>
        <v/>
      </c>
      <c r="F17" s="7">
        <f>ROUND(F16 * $C$15, 2)</f>
        <v/>
      </c>
      <c r="G17" s="7">
        <f>ROUND(G16 * $C$15, 2)</f>
        <v/>
      </c>
      <c r="H17" s="7">
        <f>ROUND(H16 * $C$15, 2)</f>
        <v/>
      </c>
      <c r="I17" s="7">
        <f>ROUND(I16 * $C$15, 2)</f>
        <v/>
      </c>
      <c r="J17" s="7">
        <f>ROUND(J16 * $C$15, 2)</f>
        <v/>
      </c>
      <c r="K17" s="7">
        <f>ROUND(K16 * $C$15, 2)</f>
        <v/>
      </c>
      <c r="L17" s="7">
        <f>ROUND(L16 * $C$15, 2)</f>
        <v/>
      </c>
      <c r="M17" s="7">
        <f>ROUND(M16 * $C$15, 2)</f>
        <v/>
      </c>
      <c r="N17" s="7">
        <f>ROUND(N16 * $C$15, 2)</f>
        <v/>
      </c>
      <c r="O17" s="7">
        <f>ROUND(O16 * $C$15, 2)</f>
        <v/>
      </c>
      <c r="P17" s="7">
        <f>ROUND(P16 * $C$15, 2)</f>
        <v/>
      </c>
      <c r="Q17" s="7">
        <f>ROUND(Q16 * $C$15, 2)</f>
        <v/>
      </c>
      <c r="R17" s="7">
        <f>ROUND(R16 * $C$15, 2)</f>
        <v/>
      </c>
      <c r="S17" s="7">
        <f>ROUND(S16 * $C$15, 2)</f>
        <v/>
      </c>
      <c r="T17" s="7">
        <f>ROUND(T16 * $C$15, 2)</f>
        <v/>
      </c>
      <c r="U17" s="7">
        <f>ROUND(U16 * $C$15, 2)</f>
        <v/>
      </c>
      <c r="V17" s="7">
        <f>ROUND(V16 * $C$15, 2)</f>
        <v/>
      </c>
      <c r="W17" s="7">
        <f>ROUND(W16 * $C$15, 2)</f>
        <v/>
      </c>
      <c r="X17" s="7">
        <f>ROUND(X16 * $C$15, 2)</f>
        <v/>
      </c>
      <c r="Y17" s="7">
        <f>ROUND(Y16 * $C$15, 2)</f>
        <v/>
      </c>
      <c r="Z17" s="7">
        <f>ROUND(Z16 * $C$15, 2)</f>
        <v/>
      </c>
      <c r="AA17" s="7">
        <f>ROUND(AA16 * $C$15, 2)</f>
        <v/>
      </c>
      <c r="AB17" s="7">
        <f>ROUND(AB16 * $C$15, 2)</f>
        <v/>
      </c>
      <c r="AC17" s="7">
        <f>ROUND(AC16 * $C$15, 2)</f>
        <v/>
      </c>
    </row>
    <row r="18">
      <c r="B18" s="15" t="inlineStr">
        <is>
          <t>Closing Value</t>
        </is>
      </c>
      <c r="D18" s="7">
        <f>ROUND(D16 - D17, 2)</f>
        <v/>
      </c>
      <c r="E18" s="7">
        <f>ROUND(E16 - E17, 2)</f>
        <v/>
      </c>
      <c r="F18" s="7" t="n">
        <v>1.02</v>
      </c>
      <c r="G18" s="7">
        <f>ROUND(G16 - G17, 2)</f>
        <v/>
      </c>
      <c r="H18" s="7">
        <f>ROUND(H16 - H17, 2)</f>
        <v/>
      </c>
      <c r="I18" s="7">
        <f>ROUND(I16 - I17, 2)</f>
        <v/>
      </c>
      <c r="J18" s="7">
        <f>ROUND(J16 - J17, 2)</f>
        <v/>
      </c>
      <c r="K18" s="7">
        <f>ROUND(K16 - K17, 2)</f>
        <v/>
      </c>
      <c r="L18" s="7">
        <f>ROUND(L16 - L17, 2)</f>
        <v/>
      </c>
      <c r="M18" s="7">
        <f>ROUND(M16 - M17, 2)</f>
        <v/>
      </c>
      <c r="N18" s="7">
        <f>ROUND(N16 - N17, 2)</f>
        <v/>
      </c>
      <c r="O18" s="7">
        <f>ROUND(O16 - O17, 2)</f>
        <v/>
      </c>
      <c r="P18" s="7">
        <f>ROUND(P16 - P17, 2)</f>
        <v/>
      </c>
      <c r="Q18" s="7">
        <f>ROUND(Q16 - Q17, 2)</f>
        <v/>
      </c>
      <c r="R18" s="7">
        <f>ROUND(R16 - R17, 2)</f>
        <v/>
      </c>
      <c r="S18" s="7">
        <f>ROUND(S16 - S17, 2)</f>
        <v/>
      </c>
      <c r="T18" s="7">
        <f>ROUND(T16 - T17, 2)</f>
        <v/>
      </c>
      <c r="U18" s="7">
        <f>ROUND(U16 - U17, 2)</f>
        <v/>
      </c>
      <c r="V18" s="7">
        <f>ROUND(V16 - V17, 2)</f>
        <v/>
      </c>
      <c r="W18" s="7">
        <f>ROUND(W16 - W17, 2)</f>
        <v/>
      </c>
      <c r="X18" s="7">
        <f>ROUND(X16 - X17, 2)</f>
        <v/>
      </c>
      <c r="Y18" s="7">
        <f>ROUND(Y16 - Y17, 2)</f>
        <v/>
      </c>
      <c r="Z18" s="7">
        <f>ROUND(Z16 - Z17, 2)</f>
        <v/>
      </c>
      <c r="AA18" s="7">
        <f>ROUND(AA16 - AA17, 2)</f>
        <v/>
      </c>
      <c r="AB18" s="7">
        <f>ROUND(AB16 - AB17, 2)</f>
        <v/>
      </c>
      <c r="AC18" s="7">
        <f>ROUND(AC16 - AC17, 2)</f>
        <v/>
      </c>
    </row>
    <row r="20">
      <c r="A20" s="20" t="inlineStr">
        <is>
          <t>Plant &amp; Machinery</t>
        </is>
      </c>
      <c r="C20" s="21" t="n">
        <v>0.15</v>
      </c>
    </row>
    <row r="21">
      <c r="B21" s="15" t="inlineStr">
        <is>
          <t>Opening Value</t>
        </is>
      </c>
      <c r="D21" s="7">
        <f>C29</f>
        <v/>
      </c>
      <c r="E21" s="7">
        <f>D23</f>
        <v/>
      </c>
      <c r="F21" s="7">
        <f>E23</f>
        <v/>
      </c>
      <c r="G21" s="7">
        <f>F23</f>
        <v/>
      </c>
      <c r="H21" s="7">
        <f>G23</f>
        <v/>
      </c>
      <c r="I21" s="7">
        <f>H23</f>
        <v/>
      </c>
      <c r="J21" s="7">
        <f>I23</f>
        <v/>
      </c>
      <c r="K21" s="7">
        <f>J23</f>
        <v/>
      </c>
      <c r="L21" s="7">
        <f>K23</f>
        <v/>
      </c>
      <c r="M21" s="7">
        <f>L23</f>
        <v/>
      </c>
      <c r="N21" s="7">
        <f>M23</f>
        <v/>
      </c>
      <c r="O21" s="7">
        <f>N23</f>
        <v/>
      </c>
      <c r="P21" s="7">
        <f>O23</f>
        <v/>
      </c>
      <c r="Q21" s="7">
        <f>P23</f>
        <v/>
      </c>
      <c r="R21" s="7">
        <f>Q23</f>
        <v/>
      </c>
      <c r="S21" s="7">
        <f>R23</f>
        <v/>
      </c>
      <c r="T21" s="7">
        <f>S23</f>
        <v/>
      </c>
      <c r="U21" s="7">
        <f>T23</f>
        <v/>
      </c>
      <c r="V21" s="7">
        <f>U23</f>
        <v/>
      </c>
      <c r="W21" s="7">
        <f>V23</f>
        <v/>
      </c>
      <c r="X21" s="7">
        <f>W23</f>
        <v/>
      </c>
      <c r="Y21" s="7">
        <f>X23</f>
        <v/>
      </c>
      <c r="Z21" s="7">
        <f>Y23</f>
        <v/>
      </c>
      <c r="AA21" s="7">
        <f>Z23</f>
        <v/>
      </c>
      <c r="AB21" s="7">
        <f>AA23</f>
        <v/>
      </c>
      <c r="AC21" s="7">
        <f>AB23</f>
        <v/>
      </c>
    </row>
    <row r="22">
      <c r="B22" s="15" t="inlineStr">
        <is>
          <t>Depreciation</t>
        </is>
      </c>
      <c r="D22" s="7">
        <f>ROUND(D21 * $C$20 * 9/12, 2)</f>
        <v/>
      </c>
      <c r="E22" s="7">
        <f>ROUND(E21 * $C$20, 2)</f>
        <v/>
      </c>
      <c r="F22" s="7" t="n">
        <v>0.2</v>
      </c>
      <c r="G22" s="7">
        <f>ROUND(G21 * $C$20, 2)</f>
        <v/>
      </c>
      <c r="H22" s="7">
        <f>ROUND(H21 * $C$20, 2)</f>
        <v/>
      </c>
      <c r="I22" s="7">
        <f>ROUND(I21 * $C$20, 2)</f>
        <v/>
      </c>
      <c r="J22" s="7">
        <f>ROUND(J21 * $C$20, 2)</f>
        <v/>
      </c>
      <c r="K22" s="7">
        <f>ROUND(K21 * $C$20, 2)</f>
        <v/>
      </c>
      <c r="L22" s="7">
        <f>ROUND(L21 * $C$20, 2)</f>
        <v/>
      </c>
      <c r="M22" s="7">
        <f>ROUND(M21 * $C$20, 2)</f>
        <v/>
      </c>
      <c r="N22" s="7">
        <f>ROUND(N21 * $C$20, 2)</f>
        <v/>
      </c>
      <c r="O22" s="7">
        <f>ROUND(O21 * $C$20, 2)</f>
        <v/>
      </c>
      <c r="P22" s="7">
        <f>ROUND(P21 * $C$20, 2)</f>
        <v/>
      </c>
      <c r="Q22" s="7">
        <f>ROUND(Q21 * $C$20, 2)</f>
        <v/>
      </c>
      <c r="R22" s="7">
        <f>ROUND(R21 * $C$20, 2)</f>
        <v/>
      </c>
      <c r="S22" s="7">
        <f>ROUND(S21 * $C$20, 2)</f>
        <v/>
      </c>
      <c r="T22" s="7">
        <f>ROUND(T21 * $C$20, 2)</f>
        <v/>
      </c>
      <c r="U22" s="7">
        <f>ROUND(U21 * $C$20, 2)</f>
        <v/>
      </c>
      <c r="V22" s="7">
        <f>ROUND(V21 * $C$20, 2)</f>
        <v/>
      </c>
      <c r="W22" s="7">
        <f>ROUND(W21 * $C$20, 2)</f>
        <v/>
      </c>
      <c r="X22" s="7">
        <f>ROUND(X21 * $C$20, 2)</f>
        <v/>
      </c>
      <c r="Y22" s="7">
        <f>ROUND(Y21 * $C$20, 2)</f>
        <v/>
      </c>
      <c r="Z22" s="7">
        <f>ROUND(Z21 * $C$20, 2)</f>
        <v/>
      </c>
      <c r="AA22" s="7">
        <f>ROUND(AA21 * $C$20, 2)</f>
        <v/>
      </c>
      <c r="AB22" s="7">
        <f>ROUND(AB21 * $C$20, 2)</f>
        <v/>
      </c>
      <c r="AC22" s="7">
        <f>ROUND(AC21 * $C$20, 2)</f>
        <v/>
      </c>
    </row>
    <row r="23">
      <c r="B23" s="15" t="inlineStr">
        <is>
          <t>Closing Value</t>
        </is>
      </c>
      <c r="D23" s="7">
        <f>ROUND(D21 - D22, 2)</f>
        <v/>
      </c>
      <c r="E23" s="7">
        <f>ROUND(E21 - E22, 2)</f>
        <v/>
      </c>
      <c r="F23" s="7">
        <f>ROUND(F21 - F22, 2)</f>
        <v/>
      </c>
      <c r="G23" s="7">
        <f>ROUND(G21 - G22, 2)</f>
        <v/>
      </c>
      <c r="H23" s="7">
        <f>ROUND(H21 - H22, 2)</f>
        <v/>
      </c>
      <c r="I23" s="7">
        <f>ROUND(I21 - I22, 2)</f>
        <v/>
      </c>
      <c r="J23" s="7">
        <f>ROUND(J21 - J22, 2)</f>
        <v/>
      </c>
      <c r="K23" s="7">
        <f>ROUND(K21 - K22, 2)</f>
        <v/>
      </c>
      <c r="L23" s="7">
        <f>ROUND(L21 - L22, 2)</f>
        <v/>
      </c>
      <c r="M23" s="7">
        <f>ROUND(M21 - M22, 2)</f>
        <v/>
      </c>
      <c r="N23" s="7">
        <f>ROUND(N21 - N22, 2)</f>
        <v/>
      </c>
      <c r="O23" s="7">
        <f>ROUND(O21 - O22, 2)</f>
        <v/>
      </c>
      <c r="P23" s="7">
        <f>ROUND(P21 - P22, 2)</f>
        <v/>
      </c>
      <c r="Q23" s="7">
        <f>ROUND(Q21 - Q22, 2)</f>
        <v/>
      </c>
      <c r="R23" s="7">
        <f>ROUND(R21 - R22, 2)</f>
        <v/>
      </c>
      <c r="S23" s="7">
        <f>ROUND(S21 - S22, 2)</f>
        <v/>
      </c>
      <c r="T23" s="7">
        <f>ROUND(T21 - T22, 2)</f>
        <v/>
      </c>
      <c r="U23" s="7">
        <f>ROUND(U21 - U22, 2)</f>
        <v/>
      </c>
      <c r="V23" s="7">
        <f>ROUND(V21 - V22, 2)</f>
        <v/>
      </c>
      <c r="W23" s="7">
        <f>ROUND(W21 - W22, 2)</f>
        <v/>
      </c>
      <c r="X23" s="7">
        <f>ROUND(X21 - X22, 2)</f>
        <v/>
      </c>
      <c r="Y23" s="7">
        <f>ROUND(Y21 - Y22, 2)</f>
        <v/>
      </c>
      <c r="Z23" s="7">
        <f>ROUND(Z21 - Z22, 2)</f>
        <v/>
      </c>
      <c r="AA23" s="7">
        <f>ROUND(AA21 - AA22, 2)</f>
        <v/>
      </c>
      <c r="AB23" s="7">
        <f>ROUND(AB21 - AB22, 2)</f>
        <v/>
      </c>
      <c r="AC23" s="7">
        <f>ROUND(AC21 - AC22, 2)</f>
        <v/>
      </c>
    </row>
    <row r="25">
      <c r="A25" s="20" t="inlineStr">
        <is>
          <t>Total IT Depreciation</t>
        </is>
      </c>
      <c r="D25" s="8">
        <f>D17+D22</f>
        <v/>
      </c>
      <c r="E25" s="8">
        <f>E17+E22</f>
        <v/>
      </c>
      <c r="F25" s="8">
        <f>F17+F22</f>
        <v/>
      </c>
      <c r="G25" s="8">
        <f>G17+G22</f>
        <v/>
      </c>
      <c r="H25" s="8">
        <f>H17+H22</f>
        <v/>
      </c>
      <c r="I25" s="8">
        <f>I17+I22</f>
        <v/>
      </c>
      <c r="J25" s="8">
        <f>J17+J22</f>
        <v/>
      </c>
      <c r="K25" s="8">
        <f>K17+K22</f>
        <v/>
      </c>
      <c r="L25" s="8">
        <f>L17+L22</f>
        <v/>
      </c>
      <c r="M25" s="8">
        <f>M17+M22</f>
        <v/>
      </c>
      <c r="N25" s="8">
        <f>N17+N22</f>
        <v/>
      </c>
      <c r="O25" s="8">
        <f>O17+O22</f>
        <v/>
      </c>
      <c r="P25" s="8">
        <f>P17+P22</f>
        <v/>
      </c>
      <c r="Q25" s="8">
        <f>Q17+Q22</f>
        <v/>
      </c>
      <c r="R25" s="8">
        <f>R17+R22</f>
        <v/>
      </c>
      <c r="S25" s="8">
        <f>S17+S22</f>
        <v/>
      </c>
      <c r="T25" s="8">
        <f>T17+T22</f>
        <v/>
      </c>
      <c r="U25" s="8">
        <f>U17+U22</f>
        <v/>
      </c>
      <c r="V25" s="8">
        <f>V17+V22</f>
        <v/>
      </c>
      <c r="W25" s="8">
        <f>W17+W22</f>
        <v/>
      </c>
      <c r="X25" s="8">
        <f>X17+X22</f>
        <v/>
      </c>
      <c r="Y25" s="8">
        <f>Y17+Y22</f>
        <v/>
      </c>
      <c r="Z25" s="8">
        <f>Z17+Z22</f>
        <v/>
      </c>
      <c r="AA25" s="8">
        <f>AA17+AA22</f>
        <v/>
      </c>
      <c r="AB25" s="8">
        <f>AB17+AB22</f>
        <v/>
      </c>
      <c r="AC25" s="8">
        <f>AC17+AC22</f>
        <v/>
      </c>
    </row>
    <row r="27">
      <c r="A27" s="22" t="inlineStr">
        <is>
          <t>Component</t>
        </is>
      </c>
      <c r="C27" s="22" t="inlineStr">
        <is>
          <t>Capitalized Amount in Rs.</t>
        </is>
      </c>
    </row>
    <row r="28">
      <c r="A28" s="11" t="inlineStr">
        <is>
          <t>Civil Works</t>
        </is>
      </c>
      <c r="C28" s="23" t="n">
        <v>1.37</v>
      </c>
    </row>
    <row r="29">
      <c r="A29" s="11" t="inlineStr">
        <is>
          <t>Plant &amp; Machinery</t>
        </is>
      </c>
      <c r="C29" s="23" t="n">
        <v>7</v>
      </c>
    </row>
    <row r="30">
      <c r="A30" s="22" t="inlineStr">
        <is>
          <t>Depreciable Base</t>
        </is>
      </c>
      <c r="C30" s="16">
        <f>SUM(C28:C29)</f>
        <v/>
      </c>
    </row>
    <row r="31">
      <c r="A31" s="24" t="inlineStr">
        <is>
          <t>Weighted Average Rate of Depreciation</t>
        </is>
      </c>
      <c r="C31" s="25">
        <f>ROUND((C28*C15+C29*C20)/C30, 4)</f>
        <v/>
      </c>
    </row>
    <row r="33">
      <c r="A33" s="20" t="inlineStr">
        <is>
          <t>Depreciation Rates as per Income Tax</t>
        </is>
      </c>
    </row>
    <row r="34">
      <c r="A34" s="11" t="inlineStr">
        <is>
          <t>Under IT Act (WDV) - Equipment</t>
        </is>
      </c>
      <c r="C34" s="26" t="n">
        <v>0.15</v>
      </c>
    </row>
    <row r="35">
      <c r="A35" s="11" t="inlineStr">
        <is>
          <t>Under IT Act (WDV) - Buildings</t>
        </is>
      </c>
      <c r="C35" s="26" t="n">
        <v>0.1</v>
      </c>
    </row>
  </sheetData>
  <mergeCells count="2">
    <mergeCell ref="B2:C2"/>
    <mergeCell ref="A1:A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2026-06-12T12:40:28Z</dcterms:created>
  <dcterms:modified xmlns:dcterms="http://purl.org/dc/terms/" xmlns:xsi="http://www.w3.org/2001/XMLSchema-instance" xsi:type="dcterms:W3CDTF">2026-06-12T12:40:28Z</dcterms:modified>
</cp:coreProperties>
</file>