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 15 Aspire\Desktop\another\"/>
    </mc:Choice>
  </mc:AlternateContent>
  <xr:revisionPtr revIDLastSave="0" documentId="13_ncr:1_{366A8FA7-D8BC-4F24-A47B-B2F943156D06}" xr6:coauthVersionLast="47" xr6:coauthVersionMax="47" xr10:uidLastSave="{00000000-0000-0000-0000-000000000000}"/>
  <bookViews>
    <workbookView xWindow="-108" yWindow="-108" windowWidth="23256" windowHeight="13896" xr2:uid="{00000000-000D-0000-FFFF-FFFF00000000}"/>
  </bookViews>
  <sheets>
    <sheet name="BOQ"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3" i="1" l="1"/>
  <c r="F31" i="1"/>
  <c r="F29" i="1"/>
  <c r="F28" i="1"/>
  <c r="F27" i="1"/>
  <c r="F25" i="1"/>
  <c r="F23" i="1"/>
  <c r="F21" i="1"/>
  <c r="F20" i="1"/>
  <c r="F18" i="1"/>
  <c r="F17" i="1"/>
  <c r="F16" i="1"/>
  <c r="F15" i="1"/>
  <c r="F34" i="1" s="1"/>
</calcChain>
</file>

<file path=xl/sharedStrings.xml><?xml version="1.0" encoding="utf-8"?>
<sst xmlns="http://schemas.openxmlformats.org/spreadsheetml/2006/main" count="75" uniqueCount="66">
  <si>
    <t>BILL OF QUANTITIES (BOQ)</t>
  </si>
  <si>
    <t>CUSTOMER:</t>
  </si>
  <si>
    <t>IB VOGT SOLAR SEVEN PVT. LTD.</t>
  </si>
  <si>
    <t>DATE:</t>
  </si>
  <si>
    <t>28.10.2025</t>
  </si>
  <si>
    <t>PROJECT LOCATION:</t>
  </si>
  <si>
    <t>SECI-IX, IB VOGT, RAJASTHAN</t>
  </si>
  <si>
    <t>PROJECT CAPACITY:</t>
  </si>
  <si>
    <t>300MW (AC)</t>
  </si>
  <si>
    <t>DRAWING DESCRIPTION:</t>
  </si>
  <si>
    <t>(SECONDARY)</t>
  </si>
  <si>
    <t>DRAWING NO.:</t>
  </si>
  <si>
    <t>RP-7540-DWG-CIV-018-02</t>
  </si>
  <si>
    <t>DOCUMENT NO.:</t>
  </si>
  <si>
    <t>RP-7540-BOM-CIV-018-02</t>
  </si>
  <si>
    <t>REVISION:</t>
  </si>
  <si>
    <t>-00</t>
  </si>
  <si>
    <t>LENGTH OF FENCING:</t>
  </si>
  <si>
    <t>30 M WITH 1 M WIDE GATE &amp; WORKING PLATFORM</t>
  </si>
  <si>
    <t>BILL OF QUANTITIES FOR CIVIL WORK OF CHAIN LINK FENCING, WORKING PLATFORM &amp; GATE FOR WMS</t>
  </si>
  <si>
    <t>NOTE: Rate to include dewatering if any. Area measurement to be as per plan dimension of P.C.C. The Contractor should keep this aspect in view while quoting the rates of all items as no extra payment will be made to the contractor on this account except</t>
  </si>
  <si>
    <t>S.No</t>
  </si>
  <si>
    <t>Brief Item Description</t>
  </si>
  <si>
    <t>Unit</t>
  </si>
  <si>
    <t>Qty</t>
  </si>
  <si>
    <t>Rate (INR)</t>
  </si>
  <si>
    <t>Amount (INR)</t>
  </si>
  <si>
    <t>1.00  EARTHWORK &amp; FILLING</t>
  </si>
  <si>
    <t>1.01  Earthwork below existing ground/grade level at all depths in all types of ordinary and hard soils (including soils intermixed with boulders, slag and slushy soils) including clearing away vegetation, shoring/ strutting as required, de-watering wherever necessary, levelling and ramming the foundation stratum, loading, transporting and unloading the excavated material up to lead of 50m to stack and levelling the area to accomodate more debris or fill anywhere within the plant area including all lifts, etc. complete as per specifications, approved drawing and as directed by the Engineer.For estimation of excavated quantity, P.C.C planned area is multiplied by depth of foundation from F.G.L.</t>
  </si>
  <si>
    <t>a</t>
  </si>
  <si>
    <t>Upto 1.5M depth from GL</t>
  </si>
  <si>
    <t>CuM</t>
  </si>
  <si>
    <t>b</t>
  </si>
  <si>
    <t>Drilling of cast in situ bored piles of 300mm dia in all type of soil with adequate / suitable drilling equipment as per approved drawing, specification and as directed by Engineer In-charge.</t>
  </si>
  <si>
    <t>RM</t>
  </si>
  <si>
    <t>1.02 a</t>
  </si>
  <si>
    <t>Backfilling of Good earth in foundation of maximum thickness of 150mm to achieve 95% procter density as per technical specification, approved drawing and instruction of Engineer in charge.</t>
  </si>
  <si>
    <t>Disposal of surplus earth and their spreading in layer as per technical specification , drawing on the area designated by Engineer incharge within the plant boundary.</t>
  </si>
  <si>
    <t>PLAIN &amp; REINFORCED CONCRETE</t>
  </si>
  <si>
    <t>1.03</t>
  </si>
  <si>
    <t>Providing and laying in position plain cement concrete in levelling course /fill under brickwork etc. at any depth with 20mm down graded coarse aggregates including curing, compacting, providing formwork wherever required etc. complete for 1:4:8 (1 cement : 4 coarse sand : 8 graded stone)</t>
  </si>
  <si>
    <t>1.04</t>
  </si>
  <si>
    <t>Providing and placing in position of M-25 (with 20mm down graded coarse aggregate) plain cement concrete in all cast in situ bored pile, foundations etc. work including vibrating, curing, de-watering wherever necessary, placing of inserts/embedments etc complete excluding cost of providing formwork for all shapes.</t>
  </si>
  <si>
    <t>1.05  Providing, erecting and removing formwork for concrete works at all excavations for all shapes, including providing &amp; complete as per specifications and as directed by the Engineer to give fair and smooth finish for concrete surfaces using sheeting formed from plywood/steel sheets.</t>
  </si>
  <si>
    <t>a)</t>
  </si>
  <si>
    <t>Cloud Censor Column.</t>
  </si>
  <si>
    <t>sqmt</t>
  </si>
  <si>
    <t>REINFORCEMENT Steel</t>
  </si>
  <si>
    <t>1.06</t>
  </si>
  <si>
    <t>Providing &amp; placing in position reinforcement steel (Ribbed bar / TMT as per IS:1786) of all diameters including cutting, bending, binding with 16 gauge black enamelled binding wire and placing in position complete including providing laps, spacers, chairs and welding wherever required (The measurement of laps, spacers and chairs shall be as per the approved bar bending schedule). All complete in line with technical specification, relevant IS code, approved drawing and as directed by Engineer-incharge.</t>
  </si>
  <si>
    <t>MT</t>
  </si>
  <si>
    <t>CHAIN LINK FENCING</t>
  </si>
  <si>
    <t>1.07</t>
  </si>
  <si>
    <t>Providing and erecting chain link fencing including chain link mesh of size 50 x50 x2.5 mm x 1500 mm height confirming to IS 2721, including tension wire of size 3.15mm, GI structural post, GI flat etc all complete as per technical specification, approved drawing and as directed by Engineer-in-charge .</t>
  </si>
  <si>
    <t>1.08</t>
  </si>
  <si>
    <t>Providing and fixing of 3 Nos horizontal tension wire of dia 3.15 mm, including necessary bolts, nut and washer all complete as per approved drawing &amp; as direction of Engineer-in-charge .</t>
  </si>
  <si>
    <t>1.09</t>
  </si>
  <si>
    <t>Fabricating, transporting to site and erecting in position of GI Angle post for fixing of fencing as per drawing using structure steel confirming to IS:4923 / IS: 2062 including supply of all materials such as bolts, nut, washer etc complete. Rate shall include all inserts and embedements essential for ISA post .</t>
  </si>
  <si>
    <t>GATE &amp; STAIRCAASE PLATFORM</t>
  </si>
  <si>
    <t>1.10</t>
  </si>
  <si>
    <t>Fabricating and transporting to site and erecting in position MS gates and staircase as per approved drawing using structure steel confirming to IS:2062 /IS:1161 including supply of all materials such as hinges, locking arrangement, plunger bolts etc complete. Rate shall include all inserts and embedements essential for smooth operation of the gate .The rate shall include for two coat of red oxide paint and one coat of synthetic animal paint as per specification .</t>
  </si>
  <si>
    <t>GRAVEL FILLING</t>
  </si>
  <si>
    <t>1.11</t>
  </si>
  <si>
    <t>Providing and laying of 100 mm Thick Gravel filling with 63-40 mm down aggregated, all work shall comply to relevant IS :Code ,Technical specification, approved drawing and as directed by Engineer-in-charge .</t>
  </si>
  <si>
    <t>CUM</t>
  </si>
  <si>
    <t>TOTAL ESTIMATED CIVIL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</si>
</sst>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10">
    <font>
      <sz val="11"/>
      <color theme="1"/>
      <name val="Calibri"/>
      <family val="2"/>
      <scheme val="minor"/>
    </font>
    <font>
      <b/>
      <sz val="16"/>
      <color rgb="FFFFFFFF"/>
      <name val="Segoe UI"/>
    </font>
    <font>
      <b/>
      <sz val="10"/>
      <color rgb="FF000000"/>
      <name val="Segoe UI"/>
    </font>
    <font>
      <sz val="10"/>
      <color rgb="FF000000"/>
      <name val="Segoe UI"/>
    </font>
    <font>
      <b/>
      <sz val="11"/>
      <color rgb="FF1F4E78"/>
      <name val="Segoe UI"/>
    </font>
    <font>
      <i/>
      <sz val="9"/>
      <color rgb="FF555555"/>
      <name val="Segoe UI"/>
    </font>
    <font>
      <b/>
      <sz val="11"/>
      <color rgb="FFFFFFFF"/>
      <name val="Segoe UI"/>
    </font>
    <font>
      <b/>
      <sz val="10"/>
      <name val="Segoe UI"/>
    </font>
    <font>
      <sz val="10"/>
      <name val="Segoe UI"/>
    </font>
    <font>
      <b/>
      <sz val="11"/>
      <name val="Segoe UI"/>
    </font>
  </fonts>
  <fills count="9">
    <fill>
      <patternFill patternType="none"/>
    </fill>
    <fill>
      <patternFill patternType="gray125"/>
    </fill>
    <fill>
      <patternFill patternType="solid">
        <fgColor rgb="FF1F4E78"/>
        <bgColor rgb="FF1F4E78"/>
      </patternFill>
    </fill>
    <fill>
      <patternFill patternType="solid">
        <fgColor rgb="FFF2F4F7"/>
        <bgColor rgb="FFF2F4F7"/>
      </patternFill>
    </fill>
    <fill>
      <patternFill patternType="solid">
        <fgColor rgb="FFEAEEF3"/>
        <bgColor rgb="FFEAEEF3"/>
      </patternFill>
    </fill>
    <fill>
      <patternFill patternType="solid">
        <fgColor rgb="FFFDFAEC"/>
        <bgColor rgb="FFFDFAEC"/>
      </patternFill>
    </fill>
    <fill>
      <patternFill patternType="solid">
        <fgColor rgb="FF2C3E50"/>
        <bgColor rgb="FF2C3E50"/>
      </patternFill>
    </fill>
    <fill>
      <patternFill patternType="solid">
        <fgColor rgb="FFD9E1F2"/>
        <bgColor rgb="FFD9E1F2"/>
      </patternFill>
    </fill>
    <fill>
      <patternFill patternType="solid">
        <fgColor rgb="FFE2EFDA"/>
        <bgColor rgb="FFE2EFDA"/>
      </patternFill>
    </fill>
  </fills>
  <borders count="3">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double">
        <color rgb="FF000000"/>
      </bottom>
      <diagonal/>
    </border>
  </borders>
  <cellStyleXfs count="1">
    <xf numFmtId="0" fontId="0" fillId="0" borderId="0"/>
  </cellStyleXfs>
  <cellXfs count="21">
    <xf numFmtId="0" fontId="0" fillId="0" borderId="0" xfId="0"/>
    <xf numFmtId="0" fontId="2" fillId="3" borderId="0" xfId="0" applyFont="1" applyFill="1" applyAlignment="1">
      <alignment horizontal="left"/>
    </xf>
    <xf numFmtId="0" fontId="0" fillId="3" borderId="0" xfId="0" applyFill="1"/>
    <xf numFmtId="0" fontId="6" fillId="6" borderId="1" xfId="0" applyFont="1" applyFill="1" applyBorder="1" applyAlignment="1">
      <alignment horizontal="center" vertical="top" wrapText="1"/>
    </xf>
    <xf numFmtId="0" fontId="7" fillId="0" borderId="1" xfId="0" applyFont="1" applyBorder="1" applyAlignment="1">
      <alignment horizontal="center" vertical="top"/>
    </xf>
    <xf numFmtId="0" fontId="8" fillId="0" borderId="1" xfId="0" applyFont="1" applyBorder="1" applyAlignment="1">
      <alignment horizontal="left" vertical="top" wrapText="1"/>
    </xf>
    <xf numFmtId="0" fontId="8" fillId="0" borderId="1" xfId="0" applyFont="1" applyBorder="1" applyAlignment="1">
      <alignment horizontal="center" vertical="top"/>
    </xf>
    <xf numFmtId="2" fontId="8" fillId="0" borderId="1" xfId="0" applyNumberFormat="1" applyFont="1" applyBorder="1" applyAlignment="1">
      <alignment horizontal="right" vertical="top"/>
    </xf>
    <xf numFmtId="164" fontId="8" fillId="0" borderId="1" xfId="0" applyNumberFormat="1" applyFont="1" applyBorder="1" applyAlignment="1">
      <alignment horizontal="right" vertical="top"/>
    </xf>
    <xf numFmtId="165" fontId="8" fillId="0" borderId="1" xfId="0" applyNumberFormat="1" applyFont="1" applyBorder="1" applyAlignment="1">
      <alignment horizontal="right" vertical="top"/>
    </xf>
    <xf numFmtId="164" fontId="4" fillId="8" borderId="2" xfId="0" applyNumberFormat="1" applyFont="1" applyFill="1" applyBorder="1" applyAlignment="1">
      <alignment horizontal="right" vertical="top"/>
    </xf>
    <xf numFmtId="0" fontId="9" fillId="8" borderId="2" xfId="0" applyFont="1" applyFill="1" applyBorder="1" applyAlignment="1">
      <alignment horizontal="right" vertical="center"/>
    </xf>
    <xf numFmtId="0" fontId="0" fillId="8" borderId="2" xfId="0" applyFill="1" applyBorder="1"/>
    <xf numFmtId="0" fontId="3" fillId="3" borderId="0" xfId="0" applyFont="1" applyFill="1" applyAlignment="1">
      <alignment horizontal="left"/>
    </xf>
    <xf numFmtId="0" fontId="0" fillId="3" borderId="0" xfId="0" applyFill="1"/>
    <xf numFmtId="0" fontId="4" fillId="7" borderId="1" xfId="0" applyFont="1" applyFill="1" applyBorder="1" applyAlignment="1">
      <alignment horizontal="left" vertical="center"/>
    </xf>
    <xf numFmtId="0" fontId="0" fillId="0" borderId="1" xfId="0" applyBorder="1"/>
    <xf numFmtId="0" fontId="5" fillId="5" borderId="0" xfId="0" applyFont="1" applyFill="1" applyAlignment="1">
      <alignment horizontal="left" vertical="center" wrapText="1"/>
    </xf>
    <xf numFmtId="0" fontId="0" fillId="0" borderId="0" xfId="0"/>
    <xf numFmtId="0" fontId="4" fillId="4" borderId="0" xfId="0" applyFont="1" applyFill="1" applyAlignment="1">
      <alignment horizontal="center" vertical="center"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tabSelected="1" workbookViewId="0">
      <selection activeCell="A10" sqref="A10:F10"/>
    </sheetView>
  </sheetViews>
  <sheetFormatPr defaultRowHeight="14.4"/>
  <cols>
    <col min="1" max="1" width="10" customWidth="1"/>
    <col min="2" max="2" width="85" customWidth="1"/>
    <col min="3" max="3" width="10" customWidth="1"/>
    <col min="4" max="4" width="12" customWidth="1"/>
    <col min="5" max="5" width="15" customWidth="1"/>
    <col min="6" max="6" width="18" customWidth="1"/>
  </cols>
  <sheetData>
    <row r="1" spans="1:6" ht="40.049999999999997" customHeight="1">
      <c r="A1" s="20" t="s">
        <v>0</v>
      </c>
      <c r="B1" s="18"/>
      <c r="C1" s="18"/>
      <c r="D1" s="18"/>
      <c r="E1" s="18"/>
      <c r="F1" s="18"/>
    </row>
    <row r="3" spans="1:6" ht="19.95" customHeight="1">
      <c r="A3" s="1" t="s">
        <v>1</v>
      </c>
      <c r="B3" s="13" t="s">
        <v>2</v>
      </c>
      <c r="C3" s="14"/>
      <c r="D3" s="1" t="s">
        <v>3</v>
      </c>
      <c r="E3" s="13" t="s">
        <v>4</v>
      </c>
      <c r="F3" s="14"/>
    </row>
    <row r="4" spans="1:6" ht="19.95" customHeight="1">
      <c r="A4" s="1" t="s">
        <v>5</v>
      </c>
      <c r="B4" s="13" t="s">
        <v>6</v>
      </c>
      <c r="C4" s="14"/>
      <c r="D4" s="1" t="s">
        <v>7</v>
      </c>
      <c r="E4" s="13" t="s">
        <v>8</v>
      </c>
      <c r="F4" s="14"/>
    </row>
    <row r="5" spans="1:6" ht="19.95" customHeight="1">
      <c r="A5" s="1" t="s">
        <v>9</v>
      </c>
      <c r="B5" s="13" t="s">
        <v>10</v>
      </c>
      <c r="C5" s="14"/>
      <c r="D5" s="1" t="s">
        <v>11</v>
      </c>
      <c r="E5" s="13" t="s">
        <v>12</v>
      </c>
      <c r="F5" s="14"/>
    </row>
    <row r="6" spans="1:6" ht="19.95" customHeight="1">
      <c r="A6" s="1" t="s">
        <v>13</v>
      </c>
      <c r="B6" s="13" t="s">
        <v>14</v>
      </c>
      <c r="C6" s="14"/>
      <c r="D6" s="1" t="s">
        <v>15</v>
      </c>
      <c r="E6" s="13" t="s">
        <v>16</v>
      </c>
      <c r="F6" s="14"/>
    </row>
    <row r="7" spans="1:6" ht="19.95" customHeight="1">
      <c r="A7" s="1" t="s">
        <v>17</v>
      </c>
      <c r="B7" s="13" t="s">
        <v>18</v>
      </c>
      <c r="C7" s="14"/>
      <c r="D7" s="2"/>
      <c r="E7" s="2"/>
      <c r="F7" s="2"/>
    </row>
    <row r="9" spans="1:6" ht="34.950000000000003" customHeight="1">
      <c r="A9" s="19" t="s">
        <v>19</v>
      </c>
      <c r="B9" s="18"/>
      <c r="C9" s="18"/>
      <c r="D9" s="18"/>
      <c r="E9" s="18"/>
      <c r="F9" s="18"/>
    </row>
    <row r="10" spans="1:6" ht="40.049999999999997" customHeight="1">
      <c r="A10" s="17" t="s">
        <v>20</v>
      </c>
      <c r="B10" s="18"/>
      <c r="C10" s="18"/>
      <c r="D10" s="18"/>
      <c r="E10" s="18"/>
      <c r="F10" s="18"/>
    </row>
    <row r="12" spans="1:6" ht="25.05" customHeight="1">
      <c r="A12" s="3" t="s">
        <v>21</v>
      </c>
      <c r="B12" s="3" t="s">
        <v>22</v>
      </c>
      <c r="C12" s="3" t="s">
        <v>23</v>
      </c>
      <c r="D12" s="3" t="s">
        <v>24</v>
      </c>
      <c r="E12" s="3" t="s">
        <v>25</v>
      </c>
      <c r="F12" s="3" t="s">
        <v>26</v>
      </c>
    </row>
    <row r="13" spans="1:6" ht="24" customHeight="1">
      <c r="A13" s="15" t="s">
        <v>27</v>
      </c>
      <c r="B13" s="16"/>
      <c r="C13" s="16"/>
      <c r="D13" s="16"/>
      <c r="E13" s="16"/>
      <c r="F13" s="16"/>
    </row>
    <row r="14" spans="1:6" ht="24" customHeight="1">
      <c r="A14" s="15" t="s">
        <v>28</v>
      </c>
      <c r="B14" s="16"/>
      <c r="C14" s="16"/>
      <c r="D14" s="16"/>
      <c r="E14" s="16"/>
      <c r="F14" s="16"/>
    </row>
    <row r="15" spans="1:6" ht="15">
      <c r="A15" s="4" t="s">
        <v>29</v>
      </c>
      <c r="B15" s="5" t="s">
        <v>30</v>
      </c>
      <c r="C15" s="6" t="s">
        <v>31</v>
      </c>
      <c r="D15" s="7">
        <v>0.2</v>
      </c>
      <c r="E15" s="8"/>
      <c r="F15" s="8">
        <f>D15*E15</f>
        <v>0</v>
      </c>
    </row>
    <row r="16" spans="1:6" ht="30">
      <c r="A16" s="4" t="s">
        <v>32</v>
      </c>
      <c r="B16" s="5" t="s">
        <v>33</v>
      </c>
      <c r="C16" s="6" t="s">
        <v>34</v>
      </c>
      <c r="D16" s="7">
        <v>19.8</v>
      </c>
      <c r="E16" s="8"/>
      <c r="F16" s="8">
        <f>D16*E16</f>
        <v>0</v>
      </c>
    </row>
    <row r="17" spans="1:6" ht="30">
      <c r="A17" s="6" t="s">
        <v>35</v>
      </c>
      <c r="B17" s="5" t="s">
        <v>36</v>
      </c>
      <c r="C17" s="6" t="s">
        <v>31</v>
      </c>
      <c r="D17" s="7">
        <v>0.1</v>
      </c>
      <c r="E17" s="8"/>
      <c r="F17" s="8">
        <f>D17*E17</f>
        <v>0</v>
      </c>
    </row>
    <row r="18" spans="1:6" ht="30">
      <c r="A18" s="4" t="s">
        <v>32</v>
      </c>
      <c r="B18" s="5" t="s">
        <v>37</v>
      </c>
      <c r="C18" s="6" t="s">
        <v>31</v>
      </c>
      <c r="D18" s="7">
        <v>19.899999999999999</v>
      </c>
      <c r="E18" s="8"/>
      <c r="F18" s="8">
        <f>D18*E18</f>
        <v>0</v>
      </c>
    </row>
    <row r="19" spans="1:6" ht="24" customHeight="1">
      <c r="A19" s="15" t="s">
        <v>38</v>
      </c>
      <c r="B19" s="16"/>
      <c r="C19" s="16"/>
      <c r="D19" s="16"/>
      <c r="E19" s="16"/>
      <c r="F19" s="16"/>
    </row>
    <row r="20" spans="1:6" ht="60">
      <c r="A20" s="4" t="s">
        <v>39</v>
      </c>
      <c r="B20" s="5" t="s">
        <v>40</v>
      </c>
      <c r="C20" s="6" t="s">
        <v>31</v>
      </c>
      <c r="D20" s="7">
        <v>0.2</v>
      </c>
      <c r="E20" s="8"/>
      <c r="F20" s="8">
        <f>D20*E20</f>
        <v>0</v>
      </c>
    </row>
    <row r="21" spans="1:6" ht="60">
      <c r="A21" s="4" t="s">
        <v>41</v>
      </c>
      <c r="B21" s="5" t="s">
        <v>42</v>
      </c>
      <c r="C21" s="6" t="s">
        <v>31</v>
      </c>
      <c r="D21" s="7">
        <v>1.7</v>
      </c>
      <c r="E21" s="8"/>
      <c r="F21" s="8">
        <f>D21*E21</f>
        <v>0</v>
      </c>
    </row>
    <row r="22" spans="1:6" ht="24" customHeight="1">
      <c r="A22" s="15" t="s">
        <v>43</v>
      </c>
      <c r="B22" s="16"/>
      <c r="C22" s="16"/>
      <c r="D22" s="16"/>
      <c r="E22" s="16"/>
      <c r="F22" s="16"/>
    </row>
    <row r="23" spans="1:6" ht="15">
      <c r="A23" s="4" t="s">
        <v>44</v>
      </c>
      <c r="B23" s="5" t="s">
        <v>45</v>
      </c>
      <c r="C23" s="6" t="s">
        <v>46</v>
      </c>
      <c r="D23" s="7">
        <v>1.7</v>
      </c>
      <c r="E23" s="8"/>
      <c r="F23" s="8">
        <f>D23*E23</f>
        <v>0</v>
      </c>
    </row>
    <row r="24" spans="1:6" ht="24" customHeight="1">
      <c r="A24" s="15" t="s">
        <v>47</v>
      </c>
      <c r="B24" s="16"/>
      <c r="C24" s="16"/>
      <c r="D24" s="16"/>
      <c r="E24" s="16"/>
      <c r="F24" s="16"/>
    </row>
    <row r="25" spans="1:6" ht="90">
      <c r="A25" s="4" t="s">
        <v>48</v>
      </c>
      <c r="B25" s="5" t="s">
        <v>49</v>
      </c>
      <c r="C25" s="6" t="s">
        <v>50</v>
      </c>
      <c r="D25" s="9">
        <v>0.02</v>
      </c>
      <c r="E25" s="8"/>
      <c r="F25" s="8">
        <f>D25*E25</f>
        <v>0</v>
      </c>
    </row>
    <row r="26" spans="1:6" ht="24" customHeight="1">
      <c r="A26" s="15" t="s">
        <v>51</v>
      </c>
      <c r="B26" s="16"/>
      <c r="C26" s="16"/>
      <c r="D26" s="16"/>
      <c r="E26" s="16"/>
      <c r="F26" s="16"/>
    </row>
    <row r="27" spans="1:6" ht="60">
      <c r="A27" s="4" t="s">
        <v>52</v>
      </c>
      <c r="B27" s="5" t="s">
        <v>53</v>
      </c>
      <c r="C27" s="6" t="s">
        <v>34</v>
      </c>
      <c r="D27" s="7">
        <v>30</v>
      </c>
      <c r="E27" s="8"/>
      <c r="F27" s="8">
        <f>D27*E27</f>
        <v>0</v>
      </c>
    </row>
    <row r="28" spans="1:6" ht="30">
      <c r="A28" s="4" t="s">
        <v>54</v>
      </c>
      <c r="B28" s="5" t="s">
        <v>55</v>
      </c>
      <c r="C28" s="6" t="s">
        <v>34</v>
      </c>
      <c r="D28" s="7">
        <v>90</v>
      </c>
      <c r="E28" s="8"/>
      <c r="F28" s="8">
        <f>D28*E28</f>
        <v>0</v>
      </c>
    </row>
    <row r="29" spans="1:6" ht="60">
      <c r="A29" s="4" t="s">
        <v>56</v>
      </c>
      <c r="B29" s="5" t="s">
        <v>57</v>
      </c>
      <c r="C29" s="6" t="s">
        <v>50</v>
      </c>
      <c r="D29" s="7">
        <v>0.23</v>
      </c>
      <c r="E29" s="8"/>
      <c r="F29" s="8">
        <f>D29*E29</f>
        <v>0</v>
      </c>
    </row>
    <row r="30" spans="1:6" ht="24" customHeight="1">
      <c r="A30" s="15" t="s">
        <v>58</v>
      </c>
      <c r="B30" s="16"/>
      <c r="C30" s="16"/>
      <c r="D30" s="16"/>
      <c r="E30" s="16"/>
      <c r="F30" s="16"/>
    </row>
    <row r="31" spans="1:6" ht="75">
      <c r="A31" s="4" t="s">
        <v>59</v>
      </c>
      <c r="B31" s="5" t="s">
        <v>60</v>
      </c>
      <c r="C31" s="6" t="s">
        <v>50</v>
      </c>
      <c r="D31" s="7">
        <v>0.4</v>
      </c>
      <c r="E31" s="8"/>
      <c r="F31" s="8">
        <f>D31*E31</f>
        <v>0</v>
      </c>
    </row>
    <row r="32" spans="1:6" ht="24" customHeight="1">
      <c r="A32" s="15" t="s">
        <v>61</v>
      </c>
      <c r="B32" s="16"/>
      <c r="C32" s="16"/>
      <c r="D32" s="16"/>
      <c r="E32" s="16"/>
      <c r="F32" s="16"/>
    </row>
    <row r="33" spans="1:6" ht="45">
      <c r="A33" s="4" t="s">
        <v>62</v>
      </c>
      <c r="B33" s="5" t="s">
        <v>63</v>
      </c>
      <c r="C33" s="6" t="s">
        <v>64</v>
      </c>
      <c r="D33" s="7">
        <v>5.67</v>
      </c>
      <c r="E33" s="8"/>
      <c r="F33" s="8">
        <f>D33*E33</f>
        <v>0</v>
      </c>
    </row>
    <row r="34" spans="1:6" ht="28.05" customHeight="1">
      <c r="A34" s="11" t="s">
        <v>65</v>
      </c>
      <c r="B34" s="12"/>
      <c r="C34" s="12"/>
      <c r="D34" s="12"/>
      <c r="E34" s="12"/>
      <c r="F34" s="10">
        <f>SUM(F13:F33)</f>
        <v>0</v>
      </c>
    </row>
  </sheetData>
  <mergeCells count="21">
    <mergeCell ref="B6:C6"/>
    <mergeCell ref="B5:C5"/>
    <mergeCell ref="A1:F1"/>
    <mergeCell ref="B4:C4"/>
    <mergeCell ref="E3:F3"/>
    <mergeCell ref="A34:E34"/>
    <mergeCell ref="B7:C7"/>
    <mergeCell ref="B3:C3"/>
    <mergeCell ref="E5:F5"/>
    <mergeCell ref="A26:F26"/>
    <mergeCell ref="E4:F4"/>
    <mergeCell ref="A14:F14"/>
    <mergeCell ref="A32:F32"/>
    <mergeCell ref="A22:F22"/>
    <mergeCell ref="E6:F6"/>
    <mergeCell ref="A10:F10"/>
    <mergeCell ref="A13:F13"/>
    <mergeCell ref="A19:F19"/>
    <mergeCell ref="A9:F9"/>
    <mergeCell ref="A30:F30"/>
    <mergeCell ref="A24:F2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Anup Kumar jangir</cp:lastModifiedBy>
  <dcterms:created xsi:type="dcterms:W3CDTF">2026-07-20T11:28:25Z</dcterms:created>
  <dcterms:modified xsi:type="dcterms:W3CDTF">2026-07-21T05:54:50Z</dcterms:modified>
</cp:coreProperties>
</file>